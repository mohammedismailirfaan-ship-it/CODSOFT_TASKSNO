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378" windowHeight="8188" activeTab="0" tabRatio="500"/>
  </bookViews>
  <sheets>
    <sheet name="Raw Data" sheetId="1" r:id="rId2"/>
    <sheet name="Segmentation" sheetId="2" r:id="rId3"/>
    <sheet name="Charts" sheetId="3" r:id="rId4"/>
    <sheet name="Insights &amp; Strategy" sheetId="4" r:id="rId5"/>
  </sheets>
  <calcPr calcId="162913"/>
</workbook>
</file>

<file path=xl/sharedStrings.xml><?xml version="1.0" encoding="utf-8"?>
<sst xmlns="http://schemas.openxmlformats.org/spreadsheetml/2006/main" count="675" uniqueCount="63">
  <si>
    <t>CustomerID</t>
  </si>
  <si>
    <t>Gender</t>
  </si>
  <si>
    <t>Age</t>
  </si>
  <si>
    <t>Region</t>
  </si>
  <si>
    <t>Annual Income ($'000)</t>
  </si>
  <si>
    <t>Spending Score (1-100)</t>
  </si>
  <si>
    <t>Product Category</t>
  </si>
  <si>
    <t>Last Purchase ($)</t>
  </si>
  <si>
    <t>Value Score (Income x Spending)</t>
  </si>
  <si>
    <t>Unique Rank</t>
  </si>
  <si>
    <t>Male</t>
  </si>
  <si>
    <t>North</t>
  </si>
  <si>
    <t>Apparel</t>
  </si>
  <si>
    <t>Central</t>
  </si>
  <si>
    <t>Electronics</t>
  </si>
  <si>
    <t>Beauty</t>
  </si>
  <si>
    <t>Female</t>
  </si>
  <si>
    <t>Home &amp; Living</t>
  </si>
  <si>
    <t>East</t>
  </si>
  <si>
    <t>Groceries</t>
  </si>
  <si>
    <t>West</t>
  </si>
  <si>
    <t>South</t>
  </si>
  <si>
    <t>Customer Segmentation Analysis</t>
  </si>
  <si>
    <t>By Age Group</t>
  </si>
  <si>
    <t>Age Group</t>
  </si>
  <si>
    <t>Customer Count</t>
  </si>
  <si>
    <t>Avg Income ($'000)</t>
  </si>
  <si>
    <t>Avg Spending Score</t>
  </si>
  <si>
    <t>Avg Purchase ($)</t>
  </si>
  <si>
    <t>18-25</t>
  </si>
  <si>
    <t>26-35</t>
  </si>
  <si>
    <t>36-45</t>
  </si>
  <si>
    <t>46-55</t>
  </si>
  <si>
    <t>56-65</t>
  </si>
  <si>
    <t>66+</t>
  </si>
  <si>
    <t>By Region</t>
  </si>
  <si>
    <t>% of Total Customers</t>
  </si>
  <si>
    <t>Top 10 Most Valuable Customers (Income x Spending Score)</t>
  </si>
  <si>
    <t>Rank</t>
  </si>
  <si>
    <t>Income ($'000)</t>
  </si>
  <si>
    <t>Spending Score</t>
  </si>
  <si>
    <t>Value Score</t>
  </si>
  <si>
    <t>Data Visualizations</t>
  </si>
  <si>
    <t>Key Insights &amp; Marketing Strategy</t>
  </si>
  <si>
    <t>Metric</t>
  </si>
  <si>
    <t>Value</t>
  </si>
  <si>
    <t>Total Customers Analyzed</t>
  </si>
  <si>
    <t>Overall Avg Annual Income ($'000)</t>
  </si>
  <si>
    <t>Overall Avg Spending Score</t>
  </si>
  <si>
    <t>Largest Region by Customer Count</t>
  </si>
  <si>
    <t>Highest-Spending Age Group</t>
  </si>
  <si>
    <t>Top Customer's Value Score</t>
  </si>
  <si>
    <t>Findings</t>
  </si>
  <si>
    <t>- Spending behavior does not track income in a straight line — several mid-income customers post the highest spending scores, suggesting engagement/loyalty drives value more than income alone.</t>
  </si>
  <si>
    <t>- One region consistently outpaces the others on both customer count and average spending score (see 'Largest Region' and the Segmentation tab) — a natural first market to double down on.</t>
  </si>
  <si>
    <t>- The Top 10 table isolates the highest income x spending customers — useful as a VIP/loyalty shortlist rather than treating all customers as one segment.</t>
  </si>
  <si>
    <t>- Age groups in the middle of the range show the strongest combination of income and spending, making them the most efficient segment to target per marketing dollar spent.</t>
  </si>
  <si>
    <t>Suggested Marketing Strategies</t>
  </si>
  <si>
    <t>- Launch a loyalty/VIP tier for the Top 10 (and similar) high value-score customers with early access or bundled discounts to protect and grow their spend.</t>
  </si>
  <si>
    <t>- Concentrate regional ad spend and local promotions on the top-performing region identified above rather than spreading budget evenly across all five regions.</t>
  </si>
  <si>
    <t>- Build a targeted campaign for the highest-spending age group using channels that group actually uses, instead of a single blanket campaign for all ages.</t>
  </si>
  <si>
    <t>- Re-engage low spending-score customers with reactivation offers (e.g. first-purchase-style discounts) rather than treating them the same as core repeat customers.</t>
  </si>
  <si>
    <t>Note: dataset is synthetic (randomly generated for this exercise), sized at 200 customers across 5 regions and 5 product categories, seeded for reproducibility.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</si>
</sst>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#,##0.0"/>
    <numFmt numFmtId="177" formatCode="0.0%"/>
    <numFmt numFmtId="178" formatCode="_-* #,##0.00_-;-* #,##0.00_-;_-* &quot;-&quot;??_-;_-@_- "/>
    <numFmt numFmtId="179" formatCode="_-* #,##0_-;-* #,##0_-;_-* &quot;-&quot;_-;_-@_- "/>
    <numFmt numFmtId="180" formatCode="_ &quot;￥&quot;* #,##0.00_ ;_ &quot;￥&quot;* \-#,##0.00_ ;_ &quot;￥&quot;* &quot;-&quot;??_ ;_ @_ "/>
    <numFmt numFmtId="181" formatCode="_ &quot;￥&quot;* #,##0_ ;_ &quot;￥&quot;* \-#,##0_ ;_ &quot;￥&quot;* &quot;-&quot;_ ;_ @_ "/>
    <numFmt numFmtId="182" formatCode="0%"/>
    <numFmt numFmtId="183" formatCode="_ &quot;￥&quot;* #,##0.00_ ;_ &quot;￥&quot;* \-#,##0.00_ ;_ &quot;￥&quot;* &quot;-&quot;??_ ;_ @_ "/>
    <numFmt numFmtId="184" formatCode="_ &quot;￥&quot;* #,##0_ ;_ &quot;￥&quot;* \-#,##0_ ;_ &quot;￥&quot;* &quot;-&quot;_ ;_ @_ "/>
    <numFmt numFmtId="185" formatCode="_ * #,##0.00_ ;_ * -#,##0.00_ ;_ * &quot;-&quot;??_ ;_ @_ "/>
    <numFmt numFmtId="186" formatCode="_ * #,##0_ ;_ * -#,##0_ ;_ * &quot;-&quot;_ ;_ @_ "/>
  </numFmts>
  <fonts count="28" x14ac:knownFonts="28">
    <font>
      <sz val="11.0"/>
      <name val="Calibri"/>
      <family val="1"/>
    </font>
    <font>
      <sz val="11.0"/>
      <name val="Calibri"/>
      <family val="1"/>
    </font>
    <font>
      <sz val="11.0"/>
      <color rgb="FFFFFFFF"/>
      <name val="Arial"/>
      <family val="2"/>
      <b/>
    </font>
    <font>
      <sz val="11.0"/>
      <name val="Arial"/>
      <family val="2"/>
    </font>
    <font>
      <sz val="16.0"/>
      <color rgb="FF1F4E78"/>
      <name val="Arial"/>
      <family val="2"/>
      <b/>
    </font>
    <font>
      <sz val="12.0"/>
      <color rgb="FF1F4E78"/>
      <name val="Arial"/>
      <family val="2"/>
      <b/>
    </font>
    <font>
      <sz val="11.0"/>
      <name val="Arial"/>
      <family val="2"/>
    </font>
    <font>
      <sz val="11.0"/>
      <name val="Arial"/>
      <family val="2"/>
      <b/>
    </font>
    <font>
      <sz val="9.0"/>
      <color rgb="FF808080"/>
      <name val="Arial"/>
      <family val="2"/>
      <i/>
    </font>
    <font>
      <sz val="10.0"/>
      <name val="Arial"/>
      <family val="2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>
      <alignment vertical="center"/>
    </xf>
  </cellStyleXfs>
  <cellXfs count="73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2" applyFill="1" borderId="1" applyBorder="1" applyAlignment="1" xfId="0">
      <alignment horizontal="center" vertical="center" wrapText="1"/>
    </xf>
    <xf numFmtId="0" fontId="2" applyFont="1" fillId="2" applyFill="1" borderId="2" applyBorder="1" applyAlignment="1" xfId="0">
      <alignment vertical="center"/>
    </xf>
    <xf numFmtId="0" fontId="3" applyFont="1" fillId="0" borderId="3" applyBorder="1" applyAlignment="1" xfId="0">
      <alignment vertical="center"/>
    </xf>
    <xf numFmtId="0" fontId="4" applyFont="1" fillId="0" borderId="0" applyAlignment="1" xfId="0">
      <alignment vertical="center"/>
    </xf>
    <xf numFmtId="0" fontId="5" applyFont="1" fillId="0" borderId="0" applyAlignment="1" xfId="0">
      <alignment vertical="center"/>
    </xf>
    <xf numFmtId="176" applyNumberFormat="1" fontId="6" applyFont="1" fillId="0" borderId="4" applyBorder="1" applyAlignment="1" xfId="0">
      <alignment vertical="center"/>
    </xf>
    <xf numFmtId="177" applyNumberFormat="1" fontId="6" applyFont="1" fillId="0" borderId="5" applyBorder="1" applyAlignment="1" xfId="0">
      <alignment vertical="center"/>
    </xf>
    <xf numFmtId="0" fontId="7" applyFont="1" fillId="0" borderId="6" applyBorder="1" applyAlignment="1" xfId="0">
      <alignment vertical="center"/>
    </xf>
    <xf numFmtId="176" applyNumberFormat="1" fontId="7" applyFont="1" fillId="0" borderId="7" applyBorder="1" applyAlignment="1" xfId="0">
      <alignment vertical="center"/>
    </xf>
    <xf numFmtId="0" fontId="6" applyFont="1" fillId="0" borderId="0" applyAlignment="1" xfId="0">
      <alignment vertical="center" wrapText="1"/>
    </xf>
    <xf numFmtId="0" fontId="8" applyFont="1" fillId="0" borderId="0" applyAlignment="1" xfId="0">
      <alignment vertical="center" wrapText="1"/>
    </xf>
    <xf numFmtId="0" fontId="1" applyFont="1" fillId="0" borderId="0" applyAlignment="1" xfId="0">
      <alignment vertical="center"/>
    </xf>
    <xf numFmtId="0" fontId="9" applyFont="1" fillId="0" borderId="0" applyAlignment="1" xfId="0"/>
    <xf numFmtId="0" fontId="1" applyFont="1" fillId="0" borderId="0" applyAlignment="1" xfId="0"/>
    <xf numFmtId="178" applyNumberFormat="1" fontId="9" applyFont="1" fillId="0" borderId="0" applyAlignment="1" xfId="0"/>
    <xf numFmtId="179" applyNumberFormat="1" fontId="9" applyFont="1" fillId="0" borderId="0" applyAlignment="1" xfId="0"/>
    <xf numFmtId="180" applyNumberFormat="1" fontId="9" applyFont="1" fillId="0" borderId="0" applyAlignment="1" xfId="0"/>
    <xf numFmtId="181" applyNumberFormat="1" fontId="9" applyFont="1" fillId="0" borderId="0" applyAlignment="1" xfId="0"/>
    <xf numFmtId="182" applyNumberFormat="1" fontId="9" applyFont="1" fillId="0" borderId="0" applyAlignment="1" xfId="0"/>
    <xf numFmtId="0" fontId="10" applyFont="1" fillId="3" applyFill="1" borderId="0" applyAlignment="1" xfId="0">
      <alignment vertical="center"/>
    </xf>
    <xf numFmtId="0" fontId="11" applyFont="1" fillId="4" applyFill="1" borderId="0" applyAlignment="1" xfId="0">
      <alignment vertical="center"/>
    </xf>
    <xf numFmtId="0" fontId="12" applyFont="1" fillId="5" applyFill="1" borderId="0" applyAlignment="1" xfId="0">
      <alignment vertical="center"/>
    </xf>
    <xf numFmtId="0" fontId="13" applyFont="1" fillId="6" applyFill="1" borderId="8" applyBorder="1" applyAlignment="1" xfId="0">
      <alignment vertical="center"/>
    </xf>
    <xf numFmtId="0" fontId="14" applyFont="1" fillId="7" applyFill="1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0" applyAlignment="1" xfId="0">
      <alignment vertical="center"/>
    </xf>
    <xf numFmtId="0" fontId="17" applyFont="1" fillId="0" borderId="10" applyBorder="1" applyAlignment="1" xfId="0">
      <alignment vertical="center"/>
    </xf>
    <xf numFmtId="0" fontId="18" applyFont="1" fillId="6" applyFill="1" borderId="11" applyBorder="1" applyAlignment="1" xfId="0">
      <alignment vertical="center"/>
    </xf>
    <xf numFmtId="0" fontId="19" applyFont="1" fillId="8" applyFill="1" borderId="12" applyBorder="1" applyAlignment="1" xfId="0">
      <alignment vertical="center"/>
    </xf>
    <xf numFmtId="0" fontId="1" applyFont="1" fillId="9" applyFill="1" borderId="13" applyBorder="1" applyAlignment="1" xfId="0">
      <alignment vertical="center"/>
    </xf>
    <xf numFmtId="0" fontId="20" applyFont="1" fillId="0" borderId="0" applyAlignment="1" xfId="0">
      <alignment vertical="center"/>
    </xf>
    <xf numFmtId="0" fontId="21" applyFont="1" fillId="0" borderId="14" applyBorder="1" applyAlignment="1" xfId="0">
      <alignment vertical="center"/>
    </xf>
    <xf numFmtId="0" fontId="22" applyFont="1" fillId="0" borderId="15" applyBorder="1" applyAlignment="1" xfId="0">
      <alignment vertical="center"/>
    </xf>
    <xf numFmtId="0" fontId="23" applyFont="1" fillId="0" borderId="16" applyBorder="1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17" applyBorder="1" applyAlignment="1" xfId="0">
      <alignment vertical="center"/>
    </xf>
    <xf numFmtId="0" fontId="25" applyFont="1" fillId="10" applyFill="1" borderId="0" applyAlignment="1" xfId="0">
      <alignment vertical="center"/>
    </xf>
    <xf numFmtId="0" fontId="25" applyFont="1" fillId="11" applyFill="1" borderId="0" applyAlignment="1" xfId="0">
      <alignment vertical="center"/>
    </xf>
    <xf numFmtId="0" fontId="25" applyFont="1" fillId="12" applyFill="1" borderId="0" applyAlignment="1" xfId="0">
      <alignment vertical="center"/>
    </xf>
    <xf numFmtId="0" fontId="25" applyFont="1" fillId="13" applyFill="1" borderId="0" applyAlignment="1" xfId="0">
      <alignment vertical="center"/>
    </xf>
    <xf numFmtId="0" fontId="25" applyFont="1" fillId="14" applyFill="1" borderId="0" applyAlignment="1" xfId="0">
      <alignment vertical="center"/>
    </xf>
    <xf numFmtId="0" fontId="25" applyFont="1" fillId="15" applyFill="1" borderId="0" applyAlignment="1" xfId="0">
      <alignment vertical="center"/>
    </xf>
    <xf numFmtId="0" fontId="25" applyFont="1" fillId="16" applyFill="1" borderId="0" applyAlignment="1" xfId="0">
      <alignment vertical="center"/>
    </xf>
    <xf numFmtId="0" fontId="25" applyFont="1" fillId="17" applyFill="1" borderId="0" applyAlignment="1" xfId="0">
      <alignment vertical="center"/>
    </xf>
    <xf numFmtId="0" fontId="25" applyFont="1" fillId="18" applyFill="1" borderId="0" applyAlignment="1" xfId="0">
      <alignment vertical="center"/>
    </xf>
    <xf numFmtId="0" fontId="25" applyFont="1" fillId="19" applyFill="1" borderId="0" applyAlignment="1" xfId="0">
      <alignment vertical="center"/>
    </xf>
    <xf numFmtId="0" fontId="25" applyFont="1" fillId="20" applyFill="1" borderId="0" applyAlignment="1" xfId="0">
      <alignment vertical="center"/>
    </xf>
    <xf numFmtId="0" fontId="25" applyFont="1" fillId="21" applyFill="1" borderId="0" applyAlignment="1" xfId="0">
      <alignment vertical="center"/>
    </xf>
    <xf numFmtId="0" fontId="26" applyFont="1" fillId="22" applyFill="1" borderId="0" applyAlignment="1" xfId="0">
      <alignment vertical="center"/>
    </xf>
    <xf numFmtId="0" fontId="26" applyFont="1" fillId="23" applyFill="1" borderId="0" applyAlignment="1" xfId="0">
      <alignment vertical="center"/>
    </xf>
    <xf numFmtId="0" fontId="26" applyFont="1" fillId="24" applyFill="1" borderId="0" applyAlignment="1" xfId="0">
      <alignment vertical="center"/>
    </xf>
    <xf numFmtId="0" fontId="26" applyFont="1" fillId="25" applyFill="1" borderId="0" applyAlignment="1" xfId="0">
      <alignment vertical="center"/>
    </xf>
    <xf numFmtId="0" fontId="26" applyFont="1" fillId="26" applyFill="1" borderId="0" applyAlignment="1" xfId="0">
      <alignment vertical="center"/>
    </xf>
    <xf numFmtId="0" fontId="26" applyFont="1" fillId="27" applyFill="1" borderId="0" applyAlignment="1" xfId="0">
      <alignment vertical="center"/>
    </xf>
    <xf numFmtId="0" fontId="26" applyFont="1" fillId="28" applyFill="1" borderId="0" applyAlignment="1" xfId="0">
      <alignment vertical="center"/>
    </xf>
    <xf numFmtId="0" fontId="26" applyFont="1" fillId="29" applyFill="1" borderId="0" applyAlignment="1" xfId="0">
      <alignment vertical="center"/>
    </xf>
    <xf numFmtId="0" fontId="26" applyFont="1" fillId="30" applyFill="1" borderId="0" applyAlignment="1" xfId="0">
      <alignment vertical="center"/>
    </xf>
    <xf numFmtId="0" fontId="26" applyFont="1" fillId="31" applyFill="1" borderId="0" applyAlignment="1" xfId="0">
      <alignment vertical="center"/>
    </xf>
    <xf numFmtId="0" fontId="26" applyFont="1" fillId="32" applyFill="1" borderId="0" applyAlignment="1" xfId="0">
      <alignment vertical="center"/>
    </xf>
    <xf numFmtId="0" fontId="26" applyFont="1" fillId="33" applyFill="1" borderId="0" applyAlignment="1" xfId="0">
      <alignment vertical="center"/>
    </xf>
    <xf numFmtId="182" applyNumberFormat="1" fontId="1" applyFont="1" fillId="0" borderId="0" applyAlignment="1" xfId="0">
      <alignment vertical="center"/>
    </xf>
    <xf numFmtId="183" applyNumberFormat="1" fontId="1" applyFont="1" fillId="0" borderId="0" applyAlignment="1" xfId="0">
      <alignment vertical="center"/>
    </xf>
    <xf numFmtId="184" applyNumberFormat="1" fontId="1" applyFont="1" fillId="0" borderId="0" applyAlignment="1" xfId="0">
      <alignment vertical="center"/>
    </xf>
    <xf numFmtId="185" applyNumberFormat="1" fontId="1" applyFont="1" fillId="0" borderId="0" applyAlignment="1" xfId="0">
      <alignment vertical="center"/>
    </xf>
    <xf numFmtId="186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4" applyFont="1" fillId="0" borderId="0" applyAlignment="1" xfId="0">
      <alignment vertical="center"/>
    </xf>
    <xf numFmtId="0" fontId="6" applyFont="1" fillId="0" borderId="0" applyAlignment="1" xfId="0">
      <alignment vertical="center" wrapText="1"/>
    </xf>
    <xf numFmtId="0" fontId="8" applyFont="1" fillId="0" borderId="0" applyAlignment="1" xfId="0">
      <alignment vertical="center" wrapText="1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Average Spending Score by Age Group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Spending Score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'Segmentation'!$A$5:$A$10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'Segmentation'!$D$5:$D$10</c:f>
              <c:numCache>
                <c:formatCode>#,##0.0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Avg Spending Score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Average Annual Income by Age Group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lineChart>
        <c:grouping val="standard"/>
        <c:varyColors val="0"/>
        <c:ser>
          <c:idx val="0"/>
          <c:order val="0"/>
          <c:tx>
            <c:v>Avg Income ($'000)</c:v>
          </c:tx>
          <c:spPr>
            <a:ln w="25400">
              <a:solidFill>
                <a:srgbClr val="4A7EBB"/>
              </a:solidFill>
              <a:prstDash val="solid"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'Segmentation'!$A$5:$A$10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'Segmentation'!$C$5:$C$10</c:f>
              <c:numCache>
                <c:formatCode>#,##0.0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  <c:smooth val="1"/>
        </c:ser>
        <c:hiLowLines/>
        <c:marker val="1"/>
        <c:smooth val="0"/>
        <c:axId val="0"/>
        <c:axId val="1"/>
      </c:lineChart>
      <c:catAx>
        <c:axId val="0"/>
        <c:scaling>
          <c:orientation val="minMax"/>
        </c:scaling>
        <c:delete val="0"/>
        <c:axPos val="b"/>
        <c:numFmt formatCode="General" sourceLinked="1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Avg Income ($'000)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Customer Distribution by Region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pieChart>
        <c:varyColors val="1"/>
        <c:ser>
          <c:idx val="0"/>
          <c:order val="0"/>
          <c:tx>
            <c:v>Customer Count</c:v>
          </c:tx>
          <c:dPt>
            <c:idx val="0"/>
            <c:bubble3D val="0"/>
            <c:spPr>
              <a:solidFill>
                <a:srgbClr val="4F81BD"/>
              </a:solidFill>
              <a:ln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>
                <a:noFill/>
              </a:ln>
            </c:spPr>
          </c:dPt>
          <c:dLbls>
            <c:dLbl>
              <c:idx val="0"/>
              <c:txPr>
                <a:bodyPr vert="horz"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Droid Sans"/>
                      <a:cs typeface="Lucida San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txPr>
                <a:bodyPr vert="horz"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Droid Sans"/>
                      <a:cs typeface="Lucida San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txPr>
                <a:bodyPr vert="horz"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Droid Sans"/>
                      <a:cs typeface="Lucida San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txPr>
                <a:bodyPr vert="horz"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Droid Sans"/>
                      <a:cs typeface="Lucida San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txPr>
                <a:bodyPr vert="horz"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Droid Sans"/>
                      <a:cs typeface="Lucida San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</c:dLbl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'Segmentation'!$A$15:$A$19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'Segmentation'!$B$15:$B$19</c:f>
              <c:numCache>
                <c:formatCode>General</c:formatCode>
                <c:ptCount val="5"/>
                <c:pt idx="0">
                  <c:v>42.0</c:v>
                </c:pt>
                <c:pt idx="1">
                  <c:v>27.0</c:v>
                </c:pt>
                <c:pt idx="2">
                  <c:v>45.0</c:v>
                </c:pt>
                <c:pt idx="3">
                  <c:v>40.0</c:v>
                </c:pt>
                <c:pt idx="4">
                  <c:v>46.0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Age Distribution (Histogram)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Customer Count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'Segmentation'!$A$5:$A$10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'Segmentation'!$B$5:$B$10</c:f>
              <c:numCache>
                <c:formatCode>General</c:formatCode>
                <c:ptCount val="6"/>
                <c:pt idx="0">
                  <c:v>28.0</c:v>
                </c:pt>
                <c:pt idx="1">
                  <c:v>39.0</c:v>
                </c:pt>
                <c:pt idx="2">
                  <c:v>43.0</c:v>
                </c:pt>
                <c:pt idx="3">
                  <c:v>30.0</c:v>
                </c:pt>
                <c:pt idx="4">
                  <c:v>36.0</c:v>
                </c:pt>
                <c:pt idx="5">
                  <c:v>24.0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Number of Customers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Annual Income vs Spending Score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scatterChart>
        <c:scatterStyle val="marker"/>
        <c:varyColors val="0"/>
        <c:ser>
          <c:idx val="0"/>
          <c:order val="0"/>
          <c:tx>
            <c:v>Customers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xVal>
            <c:strLit>
              <c:ptCount val="200"/>
              <c:pt idx="0">
                <c:v>92.3</c:v>
              </c:pt>
              <c:pt idx="1">
                <c:v>32.7</c:v>
              </c:pt>
              <c:pt idx="2">
                <c:v>70.6</c:v>
              </c:pt>
              <c:pt idx="3">
                <c:v>85.8</c:v>
              </c:pt>
              <c:pt idx="4">
                <c:v>25.3</c:v>
              </c:pt>
              <c:pt idx="5">
                <c:v>73.8</c:v>
              </c:pt>
              <c:pt idx="6">
                <c:v>59.9</c:v>
              </c:pt>
              <c:pt idx="7">
                <c:v>48.2</c:v>
              </c:pt>
              <c:pt idx="8">
                <c:v>41.3</c:v>
              </c:pt>
              <c:pt idx="9">
                <c:v>72.7</c:v>
              </c:pt>
              <c:pt idx="10">
                <c:v>41.5</c:v>
              </c:pt>
              <c:pt idx="11">
                <c:v>73.9</c:v>
              </c:pt>
              <c:pt idx="12">
                <c:v>54.6</c:v>
              </c:pt>
              <c:pt idx="13">
                <c:v>41</c:v>
              </c:pt>
              <c:pt idx="14">
                <c:v>71.4</c:v>
              </c:pt>
              <c:pt idx="15">
                <c:v>68.7</c:v>
              </c:pt>
              <c:pt idx="16">
                <c:v>88</c:v>
              </c:pt>
              <c:pt idx="17">
                <c:v>35</c:v>
              </c:pt>
              <c:pt idx="18">
                <c:v>53.7</c:v>
              </c:pt>
              <c:pt idx="19">
                <c:v>99.1</c:v>
              </c:pt>
              <c:pt idx="20">
                <c:v>77.6</c:v>
              </c:pt>
              <c:pt idx="21">
                <c:v>75.6</c:v>
              </c:pt>
              <c:pt idx="22">
                <c:v>64.9</c:v>
              </c:pt>
              <c:pt idx="23">
                <c:v>91.4</c:v>
              </c:pt>
              <c:pt idx="24">
                <c:v>57.9</c:v>
              </c:pt>
              <c:pt idx="25">
                <c:v>78.6</c:v>
              </c:pt>
              <c:pt idx="26">
                <c:v>72.5</c:v>
              </c:pt>
              <c:pt idx="27">
                <c:v>71.4</c:v>
              </c:pt>
              <c:pt idx="28">
                <c:v>29.2</c:v>
              </c:pt>
              <c:pt idx="29">
                <c:v>50.8</c:v>
              </c:pt>
              <c:pt idx="30">
                <c:v>79.5</c:v>
              </c:pt>
              <c:pt idx="31">
                <c:v>78.7</c:v>
              </c:pt>
              <c:pt idx="32">
                <c:v>43.5</c:v>
              </c:pt>
              <c:pt idx="33">
                <c:v>16.1</c:v>
              </c:pt>
              <c:pt idx="34">
                <c:v>30.3</c:v>
              </c:pt>
              <c:pt idx="35">
                <c:v>15</c:v>
              </c:pt>
              <c:pt idx="36">
                <c:v>79.5</c:v>
              </c:pt>
              <c:pt idx="37">
                <c:v>72.7</c:v>
              </c:pt>
              <c:pt idx="38">
                <c:v>15</c:v>
              </c:pt>
              <c:pt idx="39">
                <c:v>101</c:v>
              </c:pt>
              <c:pt idx="40">
                <c:v>17</c:v>
              </c:pt>
              <c:pt idx="41">
                <c:v>34.9</c:v>
              </c:pt>
              <c:pt idx="42">
                <c:v>43.3</c:v>
              </c:pt>
              <c:pt idx="43">
                <c:v>76.4</c:v>
              </c:pt>
              <c:pt idx="44">
                <c:v>84.1</c:v>
              </c:pt>
              <c:pt idx="45">
                <c:v>59.4</c:v>
              </c:pt>
              <c:pt idx="46">
                <c:v>102</c:v>
              </c:pt>
              <c:pt idx="47">
                <c:v>100.2</c:v>
              </c:pt>
              <c:pt idx="48">
                <c:v>27.1</c:v>
              </c:pt>
              <c:pt idx="49">
                <c:v>82.1</c:v>
              </c:pt>
              <c:pt idx="50">
                <c:v>48.9</c:v>
              </c:pt>
              <c:pt idx="51">
                <c:v>55.8</c:v>
              </c:pt>
              <c:pt idx="52">
                <c:v>51.5</c:v>
              </c:pt>
              <c:pt idx="53">
                <c:v>71</c:v>
              </c:pt>
              <c:pt idx="54">
                <c:v>92.6</c:v>
              </c:pt>
              <c:pt idx="55">
                <c:v>63.6</c:v>
              </c:pt>
              <c:pt idx="56">
                <c:v>58.2</c:v>
              </c:pt>
              <c:pt idx="57">
                <c:v>16.6</c:v>
              </c:pt>
              <c:pt idx="58">
                <c:v>63.5</c:v>
              </c:pt>
              <c:pt idx="59">
                <c:v>37.9</c:v>
              </c:pt>
              <c:pt idx="60">
                <c:v>15</c:v>
              </c:pt>
              <c:pt idx="61">
                <c:v>71.1</c:v>
              </c:pt>
              <c:pt idx="62">
                <c:v>64.4</c:v>
              </c:pt>
              <c:pt idx="63">
                <c:v>79.9</c:v>
              </c:pt>
              <c:pt idx="64">
                <c:v>82.9</c:v>
              </c:pt>
              <c:pt idx="65">
                <c:v>67.7</c:v>
              </c:pt>
              <c:pt idx="66">
                <c:v>46.7</c:v>
              </c:pt>
              <c:pt idx="67">
                <c:v>71.3</c:v>
              </c:pt>
              <c:pt idx="68">
                <c:v>74</c:v>
              </c:pt>
              <c:pt idx="69">
                <c:v>71.6</c:v>
              </c:pt>
              <c:pt idx="70">
                <c:v>66</c:v>
              </c:pt>
              <c:pt idx="71">
                <c:v>82.4</c:v>
              </c:pt>
              <c:pt idx="72">
                <c:v>15</c:v>
              </c:pt>
              <c:pt idx="73">
                <c:v>80.9</c:v>
              </c:pt>
              <c:pt idx="74">
                <c:v>87.1</c:v>
              </c:pt>
              <c:pt idx="75">
                <c:v>92.3</c:v>
              </c:pt>
              <c:pt idx="76">
                <c:v>51.4</c:v>
              </c:pt>
              <c:pt idx="77">
                <c:v>73.5</c:v>
              </c:pt>
              <c:pt idx="78">
                <c:v>49</c:v>
              </c:pt>
              <c:pt idx="79">
                <c:v>70.4</c:v>
              </c:pt>
              <c:pt idx="80">
                <c:v>63.4</c:v>
              </c:pt>
              <c:pt idx="81">
                <c:v>78.1</c:v>
              </c:pt>
              <c:pt idx="82">
                <c:v>78.2</c:v>
              </c:pt>
              <c:pt idx="83">
                <c:v>96.2</c:v>
              </c:pt>
              <c:pt idx="84">
                <c:v>75.7</c:v>
              </c:pt>
              <c:pt idx="85">
                <c:v>42.3</c:v>
              </c:pt>
              <c:pt idx="86">
                <c:v>58.3</c:v>
              </c:pt>
              <c:pt idx="87">
                <c:v>71.6</c:v>
              </c:pt>
              <c:pt idx="88">
                <c:v>56.9</c:v>
              </c:pt>
              <c:pt idx="89">
                <c:v>45.6</c:v>
              </c:pt>
              <c:pt idx="90">
                <c:v>101.2</c:v>
              </c:pt>
              <c:pt idx="91">
                <c:v>76.9</c:v>
              </c:pt>
              <c:pt idx="92">
                <c:v>90.5</c:v>
              </c:pt>
              <c:pt idx="93">
                <c:v>83.9</c:v>
              </c:pt>
              <c:pt idx="94">
                <c:v>96.6</c:v>
              </c:pt>
              <c:pt idx="95">
                <c:v>63.8</c:v>
              </c:pt>
              <c:pt idx="96">
                <c:v>53</c:v>
              </c:pt>
              <c:pt idx="97">
                <c:v>67.3</c:v>
              </c:pt>
              <c:pt idx="98">
                <c:v>63.7</c:v>
              </c:pt>
              <c:pt idx="99">
                <c:v>55.8</c:v>
              </c:pt>
              <c:pt idx="100">
                <c:v>72.3</c:v>
              </c:pt>
              <c:pt idx="101">
                <c:v>49.9</c:v>
              </c:pt>
              <c:pt idx="102">
                <c:v>76.6</c:v>
              </c:pt>
              <c:pt idx="103">
                <c:v>57.8</c:v>
              </c:pt>
              <c:pt idx="104">
                <c:v>62.7</c:v>
              </c:pt>
              <c:pt idx="105">
                <c:v>71.3</c:v>
              </c:pt>
              <c:pt idx="106">
                <c:v>95.9</c:v>
              </c:pt>
              <c:pt idx="107">
                <c:v>44.3</c:v>
              </c:pt>
              <c:pt idx="108">
                <c:v>66.7</c:v>
              </c:pt>
              <c:pt idx="109">
                <c:v>66.4</c:v>
              </c:pt>
              <c:pt idx="110">
                <c:v>75</c:v>
              </c:pt>
              <c:pt idx="111">
                <c:v>42.8</c:v>
              </c:pt>
              <c:pt idx="112">
                <c:v>41.4</c:v>
              </c:pt>
              <c:pt idx="113">
                <c:v>60.1</c:v>
              </c:pt>
              <c:pt idx="114">
                <c:v>101</c:v>
              </c:pt>
              <c:pt idx="115">
                <c:v>43.4</c:v>
              </c:pt>
              <c:pt idx="116">
                <c:v>70.6</c:v>
              </c:pt>
              <c:pt idx="117">
                <c:v>64.9</c:v>
              </c:pt>
              <c:pt idx="118">
                <c:v>48.4</c:v>
              </c:pt>
              <c:pt idx="119">
                <c:v>65</c:v>
              </c:pt>
              <c:pt idx="120">
                <c:v>67.6</c:v>
              </c:pt>
              <c:pt idx="121">
                <c:v>38.8</c:v>
              </c:pt>
              <c:pt idx="122">
                <c:v>66.3</c:v>
              </c:pt>
              <c:pt idx="123">
                <c:v>15</c:v>
              </c:pt>
              <c:pt idx="124">
                <c:v>69.9</c:v>
              </c:pt>
              <c:pt idx="125">
                <c:v>74.7</c:v>
              </c:pt>
              <c:pt idx="126">
                <c:v>50.7</c:v>
              </c:pt>
              <c:pt idx="127">
                <c:v>66.1</c:v>
              </c:pt>
              <c:pt idx="128">
                <c:v>95.6</c:v>
              </c:pt>
              <c:pt idx="129">
                <c:v>24.9</c:v>
              </c:pt>
              <c:pt idx="130">
                <c:v>73.3</c:v>
              </c:pt>
              <c:pt idx="131">
                <c:v>63.8</c:v>
              </c:pt>
              <c:pt idx="132">
                <c:v>84.6</c:v>
              </c:pt>
              <c:pt idx="133">
                <c:v>43.5</c:v>
              </c:pt>
              <c:pt idx="134">
                <c:v>70.8</c:v>
              </c:pt>
              <c:pt idx="135">
                <c:v>58.1</c:v>
              </c:pt>
              <c:pt idx="136">
                <c:v>73</c:v>
              </c:pt>
              <c:pt idx="137">
                <c:v>60.6</c:v>
              </c:pt>
              <c:pt idx="138">
                <c:v>68.7</c:v>
              </c:pt>
              <c:pt idx="139">
                <c:v>63.9</c:v>
              </c:pt>
              <c:pt idx="140">
                <c:v>78</c:v>
              </c:pt>
              <c:pt idx="141">
                <c:v>47.2</c:v>
              </c:pt>
              <c:pt idx="142">
                <c:v>91.8</c:v>
              </c:pt>
              <c:pt idx="143">
                <c:v>81.4</c:v>
              </c:pt>
              <c:pt idx="144">
                <c:v>84.1</c:v>
              </c:pt>
              <c:pt idx="145">
                <c:v>64</c:v>
              </c:pt>
              <c:pt idx="146">
                <c:v>54.8</c:v>
              </c:pt>
              <c:pt idx="147">
                <c:v>64.4</c:v>
              </c:pt>
              <c:pt idx="148">
                <c:v>74.8</c:v>
              </c:pt>
              <c:pt idx="149">
                <c:v>41.3</c:v>
              </c:pt>
              <c:pt idx="150">
                <c:v>67.4</c:v>
              </c:pt>
              <c:pt idx="151">
                <c:v>80.3</c:v>
              </c:pt>
              <c:pt idx="152">
                <c:v>87.4</c:v>
              </c:pt>
              <c:pt idx="153">
                <c:v>38.7</c:v>
              </c:pt>
              <c:pt idx="154">
                <c:v>48.4</c:v>
              </c:pt>
              <c:pt idx="155">
                <c:v>93.6</c:v>
              </c:pt>
              <c:pt idx="156">
                <c:v>40.2</c:v>
              </c:pt>
              <c:pt idx="157">
                <c:v>94.1</c:v>
              </c:pt>
              <c:pt idx="158">
                <c:v>32.5</c:v>
              </c:pt>
              <c:pt idx="159">
                <c:v>82.7</c:v>
              </c:pt>
              <c:pt idx="160">
                <c:v>92.5</c:v>
              </c:pt>
              <c:pt idx="161">
                <c:v>46.6</c:v>
              </c:pt>
              <c:pt idx="162">
                <c:v>94.2</c:v>
              </c:pt>
              <c:pt idx="163">
                <c:v>80.6</c:v>
              </c:pt>
              <c:pt idx="164">
                <c:v>55</c:v>
              </c:pt>
              <c:pt idx="165">
                <c:v>66.6</c:v>
              </c:pt>
              <c:pt idx="166">
                <c:v>48.4</c:v>
              </c:pt>
              <c:pt idx="167">
                <c:v>80.7</c:v>
              </c:pt>
              <c:pt idx="168">
                <c:v>88.8</c:v>
              </c:pt>
              <c:pt idx="169">
                <c:v>44.3</c:v>
              </c:pt>
              <c:pt idx="170">
                <c:v>51.9</c:v>
              </c:pt>
              <c:pt idx="171">
                <c:v>73.6</c:v>
              </c:pt>
              <c:pt idx="172">
                <c:v>94.1</c:v>
              </c:pt>
              <c:pt idx="173">
                <c:v>36.7</c:v>
              </c:pt>
              <c:pt idx="174">
                <c:v>55.5</c:v>
              </c:pt>
              <c:pt idx="175">
                <c:v>89</c:v>
              </c:pt>
              <c:pt idx="176">
                <c:v>75.6</c:v>
              </c:pt>
              <c:pt idx="177">
                <c:v>67.1</c:v>
              </c:pt>
              <c:pt idx="178">
                <c:v>66.6</c:v>
              </c:pt>
              <c:pt idx="179">
                <c:v>88.3</c:v>
              </c:pt>
              <c:pt idx="180">
                <c:v>69.6</c:v>
              </c:pt>
              <c:pt idx="181">
                <c:v>46</c:v>
              </c:pt>
              <c:pt idx="182">
                <c:v>62.2</c:v>
              </c:pt>
              <c:pt idx="183">
                <c:v>44.6</c:v>
              </c:pt>
              <c:pt idx="184">
                <c:v>63.3</c:v>
              </c:pt>
              <c:pt idx="185">
                <c:v>67.6</c:v>
              </c:pt>
              <c:pt idx="186">
                <c:v>92.3</c:v>
              </c:pt>
              <c:pt idx="187">
                <c:v>84.9</c:v>
              </c:pt>
              <c:pt idx="188">
                <c:v>76.7</c:v>
              </c:pt>
              <c:pt idx="189">
                <c:v>86.6</c:v>
              </c:pt>
              <c:pt idx="190">
                <c:v>37.4</c:v>
              </c:pt>
              <c:pt idx="191">
                <c:v>69.4</c:v>
              </c:pt>
              <c:pt idx="192">
                <c:v>99.8</c:v>
              </c:pt>
              <c:pt idx="193">
                <c:v>49.6</c:v>
              </c:pt>
              <c:pt idx="194">
                <c:v>79.6</c:v>
              </c:pt>
              <c:pt idx="195">
                <c:v>46.5</c:v>
              </c:pt>
              <c:pt idx="196">
                <c:v>47.2</c:v>
              </c:pt>
              <c:pt idx="197">
                <c:v>40.5</c:v>
              </c:pt>
              <c:pt idx="198">
                <c:v>40.2</c:v>
              </c:pt>
              <c:pt idx="199">
                <c:v>89.3</c:v>
              </c:pt>
            </c:strLit>
          </c:xVal>
          <c:yVal>
            <c:numRef>
              <c:f/>
              <c:numCache>
                <c:formatCode>General</c:formatCode>
                <c:ptCount val="200"/>
                <c:pt idx="0">
                  <c:v>32.0</c:v>
                </c:pt>
                <c:pt idx="1">
                  <c:v>4.0</c:v>
                </c:pt>
                <c:pt idx="2">
                  <c:v>84.0</c:v>
                </c:pt>
                <c:pt idx="3">
                  <c:v>21.0</c:v>
                </c:pt>
                <c:pt idx="4">
                  <c:v>49.0</c:v>
                </c:pt>
                <c:pt idx="5">
                  <c:v>69.0</c:v>
                </c:pt>
                <c:pt idx="6">
                  <c:v>81.0</c:v>
                </c:pt>
                <c:pt idx="7">
                  <c:v>30.0</c:v>
                </c:pt>
                <c:pt idx="8">
                  <c:v>82.0</c:v>
                </c:pt>
                <c:pt idx="9">
                  <c:v>88.0</c:v>
                </c:pt>
                <c:pt idx="10">
                  <c:v>35.0</c:v>
                </c:pt>
                <c:pt idx="11">
                  <c:v>41.0</c:v>
                </c:pt>
                <c:pt idx="12">
                  <c:v>51.0</c:v>
                </c:pt>
                <c:pt idx="13">
                  <c:v>96.0</c:v>
                </c:pt>
                <c:pt idx="14">
                  <c:v>18.0</c:v>
                </c:pt>
                <c:pt idx="15">
                  <c:v>21.0</c:v>
                </c:pt>
                <c:pt idx="16">
                  <c:v>68.0</c:v>
                </c:pt>
                <c:pt idx="17">
                  <c:v>99.0</c:v>
                </c:pt>
                <c:pt idx="18">
                  <c:v>93.0</c:v>
                </c:pt>
                <c:pt idx="19">
                  <c:v>81.0</c:v>
                </c:pt>
                <c:pt idx="20">
                  <c:v>21.0</c:v>
                </c:pt>
                <c:pt idx="21">
                  <c:v>3.0</c:v>
                </c:pt>
                <c:pt idx="22">
                  <c:v>73.0</c:v>
                </c:pt>
                <c:pt idx="23">
                  <c:v>17.0</c:v>
                </c:pt>
                <c:pt idx="24">
                  <c:v>55.0</c:v>
                </c:pt>
                <c:pt idx="25">
                  <c:v>86.0</c:v>
                </c:pt>
                <c:pt idx="26">
                  <c:v>9.0</c:v>
                </c:pt>
                <c:pt idx="27">
                  <c:v>10.0</c:v>
                </c:pt>
                <c:pt idx="28">
                  <c:v>36.0</c:v>
                </c:pt>
                <c:pt idx="29">
                  <c:v>53.0</c:v>
                </c:pt>
                <c:pt idx="30">
                  <c:v>60.0</c:v>
                </c:pt>
                <c:pt idx="31">
                  <c:v>44.0</c:v>
                </c:pt>
                <c:pt idx="32">
                  <c:v>36.0</c:v>
                </c:pt>
                <c:pt idx="33">
                  <c:v>84.0</c:v>
                </c:pt>
                <c:pt idx="34">
                  <c:v>62.0</c:v>
                </c:pt>
                <c:pt idx="35">
                  <c:v>50.0</c:v>
                </c:pt>
                <c:pt idx="36">
                  <c:v>94.0</c:v>
                </c:pt>
                <c:pt idx="37">
                  <c:v>8.0</c:v>
                </c:pt>
                <c:pt idx="38">
                  <c:v>62.0</c:v>
                </c:pt>
                <c:pt idx="39">
                  <c:v>11.0</c:v>
                </c:pt>
                <c:pt idx="40">
                  <c:v>73.0</c:v>
                </c:pt>
                <c:pt idx="41">
                  <c:v>73.0</c:v>
                </c:pt>
                <c:pt idx="42">
                  <c:v>51.0</c:v>
                </c:pt>
                <c:pt idx="43">
                  <c:v>10.0</c:v>
                </c:pt>
                <c:pt idx="44">
                  <c:v>65.0</c:v>
                </c:pt>
                <c:pt idx="45">
                  <c:v>21.0</c:v>
                </c:pt>
                <c:pt idx="46">
                  <c:v>84.0</c:v>
                </c:pt>
                <c:pt idx="47">
                  <c:v>18.0</c:v>
                </c:pt>
                <c:pt idx="48">
                  <c:v>27.0</c:v>
                </c:pt>
                <c:pt idx="49">
                  <c:v>7.0</c:v>
                </c:pt>
                <c:pt idx="50">
                  <c:v>17.0</c:v>
                </c:pt>
                <c:pt idx="51">
                  <c:v>10.0</c:v>
                </c:pt>
                <c:pt idx="52">
                  <c:v>40.0</c:v>
                </c:pt>
                <c:pt idx="53">
                  <c:v>32.0</c:v>
                </c:pt>
                <c:pt idx="54">
                  <c:v>31.0</c:v>
                </c:pt>
                <c:pt idx="55">
                  <c:v>95.0</c:v>
                </c:pt>
                <c:pt idx="56">
                  <c:v>90.0</c:v>
                </c:pt>
                <c:pt idx="57">
                  <c:v>59.0</c:v>
                </c:pt>
                <c:pt idx="58">
                  <c:v>25.0</c:v>
                </c:pt>
                <c:pt idx="59">
                  <c:v>52.0</c:v>
                </c:pt>
                <c:pt idx="60">
                  <c:v>34.0</c:v>
                </c:pt>
                <c:pt idx="61">
                  <c:v>66.0</c:v>
                </c:pt>
                <c:pt idx="62">
                  <c:v>56.0</c:v>
                </c:pt>
                <c:pt idx="63">
                  <c:v>86.0</c:v>
                </c:pt>
                <c:pt idx="64">
                  <c:v>86.0</c:v>
                </c:pt>
                <c:pt idx="65">
                  <c:v>54.0</c:v>
                </c:pt>
                <c:pt idx="66">
                  <c:v>1.0</c:v>
                </c:pt>
                <c:pt idx="67">
                  <c:v>87.0</c:v>
                </c:pt>
                <c:pt idx="68">
                  <c:v>85.0</c:v>
                </c:pt>
                <c:pt idx="69">
                  <c:v>26.0</c:v>
                </c:pt>
                <c:pt idx="70">
                  <c:v>10.0</c:v>
                </c:pt>
                <c:pt idx="71">
                  <c:v>32.0</c:v>
                </c:pt>
                <c:pt idx="72">
                  <c:v>90.0</c:v>
                </c:pt>
                <c:pt idx="73">
                  <c:v>60.0</c:v>
                </c:pt>
                <c:pt idx="74">
                  <c:v>93.0</c:v>
                </c:pt>
                <c:pt idx="75">
                  <c:v>61.0</c:v>
                </c:pt>
                <c:pt idx="76">
                  <c:v>31.0</c:v>
                </c:pt>
                <c:pt idx="77">
                  <c:v>41.0</c:v>
                </c:pt>
                <c:pt idx="78">
                  <c:v>91.0</c:v>
                </c:pt>
                <c:pt idx="79">
                  <c:v>8.0</c:v>
                </c:pt>
                <c:pt idx="80">
                  <c:v>1.0</c:v>
                </c:pt>
                <c:pt idx="81">
                  <c:v>70.0</c:v>
                </c:pt>
                <c:pt idx="82">
                  <c:v>4.0</c:v>
                </c:pt>
                <c:pt idx="83">
                  <c:v>17.0</c:v>
                </c:pt>
                <c:pt idx="84">
                  <c:v>18.0</c:v>
                </c:pt>
                <c:pt idx="85">
                  <c:v>42.0</c:v>
                </c:pt>
                <c:pt idx="86">
                  <c:v>11.0</c:v>
                </c:pt>
                <c:pt idx="87">
                  <c:v>9.0</c:v>
                </c:pt>
                <c:pt idx="88">
                  <c:v>31.0</c:v>
                </c:pt>
                <c:pt idx="89">
                  <c:v>99.0</c:v>
                </c:pt>
                <c:pt idx="90">
                  <c:v>14.0</c:v>
                </c:pt>
                <c:pt idx="91">
                  <c:v>26.0</c:v>
                </c:pt>
                <c:pt idx="92">
                  <c:v>39.0</c:v>
                </c:pt>
                <c:pt idx="93">
                  <c:v>85.0</c:v>
                </c:pt>
                <c:pt idx="94">
                  <c:v>63.0</c:v>
                </c:pt>
                <c:pt idx="95">
                  <c:v>94.0</c:v>
                </c:pt>
                <c:pt idx="96">
                  <c:v>94.0</c:v>
                </c:pt>
                <c:pt idx="97">
                  <c:v>32.0</c:v>
                </c:pt>
                <c:pt idx="98">
                  <c:v>42.0</c:v>
                </c:pt>
                <c:pt idx="99">
                  <c:v>77.0</c:v>
                </c:pt>
                <c:pt idx="100">
                  <c:v>53.0</c:v>
                </c:pt>
                <c:pt idx="101">
                  <c:v>3.0</c:v>
                </c:pt>
                <c:pt idx="102">
                  <c:v>48.0</c:v>
                </c:pt>
                <c:pt idx="103">
                  <c:v>90.0</c:v>
                </c:pt>
                <c:pt idx="104">
                  <c:v>41.0</c:v>
                </c:pt>
                <c:pt idx="105">
                  <c:v>62.0</c:v>
                </c:pt>
                <c:pt idx="106">
                  <c:v>38.0</c:v>
                </c:pt>
                <c:pt idx="107">
                  <c:v>6.0</c:v>
                </c:pt>
                <c:pt idx="108">
                  <c:v>2.0</c:v>
                </c:pt>
                <c:pt idx="109">
                  <c:v>7.0</c:v>
                </c:pt>
                <c:pt idx="110">
                  <c:v>10.0</c:v>
                </c:pt>
                <c:pt idx="111">
                  <c:v>39.0</c:v>
                </c:pt>
                <c:pt idx="112">
                  <c:v>80.0</c:v>
                </c:pt>
                <c:pt idx="113">
                  <c:v>76.0</c:v>
                </c:pt>
                <c:pt idx="114">
                  <c:v>13.0</c:v>
                </c:pt>
                <c:pt idx="115">
                  <c:v>71.0</c:v>
                </c:pt>
                <c:pt idx="116">
                  <c:v>5.0</c:v>
                </c:pt>
                <c:pt idx="117">
                  <c:v>34.0</c:v>
                </c:pt>
                <c:pt idx="118">
                  <c:v>83.0</c:v>
                </c:pt>
                <c:pt idx="119">
                  <c:v>40.0</c:v>
                </c:pt>
                <c:pt idx="120">
                  <c:v>89.0</c:v>
                </c:pt>
                <c:pt idx="121">
                  <c:v>6.0</c:v>
                </c:pt>
                <c:pt idx="122">
                  <c:v>87.0</c:v>
                </c:pt>
                <c:pt idx="123">
                  <c:v>97.0</c:v>
                </c:pt>
                <c:pt idx="124">
                  <c:v>75.0</c:v>
                </c:pt>
                <c:pt idx="125">
                  <c:v>43.0</c:v>
                </c:pt>
                <c:pt idx="126">
                  <c:v>37.0</c:v>
                </c:pt>
                <c:pt idx="127">
                  <c:v>33.0</c:v>
                </c:pt>
                <c:pt idx="128">
                  <c:v>1.0</c:v>
                </c:pt>
                <c:pt idx="129">
                  <c:v>97.0</c:v>
                </c:pt>
                <c:pt idx="130">
                  <c:v>17.0</c:v>
                </c:pt>
                <c:pt idx="131">
                  <c:v>81.0</c:v>
                </c:pt>
                <c:pt idx="132">
                  <c:v>71.0</c:v>
                </c:pt>
                <c:pt idx="133">
                  <c:v>20.0</c:v>
                </c:pt>
                <c:pt idx="134">
                  <c:v>61.0</c:v>
                </c:pt>
                <c:pt idx="135">
                  <c:v>66.0</c:v>
                </c:pt>
                <c:pt idx="136">
                  <c:v>65.0</c:v>
                </c:pt>
                <c:pt idx="137">
                  <c:v>85.0</c:v>
                </c:pt>
                <c:pt idx="138">
                  <c:v>98.0</c:v>
                </c:pt>
                <c:pt idx="139">
                  <c:v>30.0</c:v>
                </c:pt>
                <c:pt idx="140">
                  <c:v>85.0</c:v>
                </c:pt>
                <c:pt idx="141">
                  <c:v>43.0</c:v>
                </c:pt>
                <c:pt idx="142">
                  <c:v>2.0</c:v>
                </c:pt>
                <c:pt idx="143">
                  <c:v>34.0</c:v>
                </c:pt>
                <c:pt idx="144">
                  <c:v>69.0</c:v>
                </c:pt>
                <c:pt idx="145">
                  <c:v>9.0</c:v>
                </c:pt>
                <c:pt idx="146">
                  <c:v>13.0</c:v>
                </c:pt>
                <c:pt idx="147">
                  <c:v>8.0</c:v>
                </c:pt>
                <c:pt idx="148">
                  <c:v>73.0</c:v>
                </c:pt>
                <c:pt idx="149">
                  <c:v>64.0</c:v>
                </c:pt>
                <c:pt idx="150">
                  <c:v>2.0</c:v>
                </c:pt>
                <c:pt idx="151">
                  <c:v>45.0</c:v>
                </c:pt>
                <c:pt idx="152">
                  <c:v>26.0</c:v>
                </c:pt>
                <c:pt idx="153">
                  <c:v>74.0</c:v>
                </c:pt>
                <c:pt idx="154">
                  <c:v>73.0</c:v>
                </c:pt>
                <c:pt idx="155">
                  <c:v>30.0</c:v>
                </c:pt>
                <c:pt idx="156">
                  <c:v>97.0</c:v>
                </c:pt>
                <c:pt idx="157">
                  <c:v>5.0</c:v>
                </c:pt>
                <c:pt idx="158">
                  <c:v>54.0</c:v>
                </c:pt>
                <c:pt idx="159">
                  <c:v>35.0</c:v>
                </c:pt>
                <c:pt idx="160">
                  <c:v>44.0</c:v>
                </c:pt>
                <c:pt idx="161">
                  <c:v>93.0</c:v>
                </c:pt>
                <c:pt idx="162">
                  <c:v>2.0</c:v>
                </c:pt>
                <c:pt idx="163">
                  <c:v>82.0</c:v>
                </c:pt>
                <c:pt idx="164">
                  <c:v>72.0</c:v>
                </c:pt>
                <c:pt idx="165">
                  <c:v>39.0</c:v>
                </c:pt>
                <c:pt idx="166">
                  <c:v>15.0</c:v>
                </c:pt>
                <c:pt idx="167">
                  <c:v>86.0</c:v>
                </c:pt>
                <c:pt idx="168">
                  <c:v>63.0</c:v>
                </c:pt>
                <c:pt idx="169">
                  <c:v>57.0</c:v>
                </c:pt>
                <c:pt idx="170">
                  <c:v>83.0</c:v>
                </c:pt>
                <c:pt idx="171">
                  <c:v>59.0</c:v>
                </c:pt>
                <c:pt idx="172">
                  <c:v>32.0</c:v>
                </c:pt>
                <c:pt idx="173">
                  <c:v>28.0</c:v>
                </c:pt>
                <c:pt idx="174">
                  <c:v>19.0</c:v>
                </c:pt>
                <c:pt idx="175">
                  <c:v>4.0</c:v>
                </c:pt>
                <c:pt idx="176">
                  <c:v>23.0</c:v>
                </c:pt>
                <c:pt idx="177">
                  <c:v>9.0</c:v>
                </c:pt>
                <c:pt idx="178">
                  <c:v>79.0</c:v>
                </c:pt>
                <c:pt idx="179">
                  <c:v>4.0</c:v>
                </c:pt>
                <c:pt idx="180">
                  <c:v>57.0</c:v>
                </c:pt>
                <c:pt idx="181">
                  <c:v>80.0</c:v>
                </c:pt>
                <c:pt idx="182">
                  <c:v>59.0</c:v>
                </c:pt>
                <c:pt idx="183">
                  <c:v>28.0</c:v>
                </c:pt>
                <c:pt idx="184">
                  <c:v>52.0</c:v>
                </c:pt>
                <c:pt idx="185">
                  <c:v>48.0</c:v>
                </c:pt>
                <c:pt idx="186">
                  <c:v>12.0</c:v>
                </c:pt>
                <c:pt idx="187">
                  <c:v>76.0</c:v>
                </c:pt>
                <c:pt idx="188">
                  <c:v>86.0</c:v>
                </c:pt>
                <c:pt idx="189">
                  <c:v>46.0</c:v>
                </c:pt>
                <c:pt idx="190">
                  <c:v>14.0</c:v>
                </c:pt>
                <c:pt idx="191">
                  <c:v>55.0</c:v>
                </c:pt>
                <c:pt idx="192">
                  <c:v>89.0</c:v>
                </c:pt>
                <c:pt idx="193">
                  <c:v>24.0</c:v>
                </c:pt>
                <c:pt idx="194">
                  <c:v>4.0</c:v>
                </c:pt>
                <c:pt idx="195">
                  <c:v>21.0</c:v>
                </c:pt>
                <c:pt idx="196">
                  <c:v>97.0</c:v>
                </c:pt>
                <c:pt idx="197">
                  <c:v>63.0</c:v>
                </c:pt>
                <c:pt idx="198">
                  <c:v>56.0</c:v>
                </c:pt>
                <c:pt idx="199">
                  <c:v>6.0</c:v>
                </c:pt>
              </c:numCache>
            </c:numRef>
          </c:yVal>
          <c:smooth val="1"/>
        </c:ser>
        <c:axId val="0"/>
        <c:axId val="1"/>
      </c:scatterChart>
      <c:valAx>
        <c:axId val="0"/>
        <c:scaling>
          <c:orientation val="minMax"/>
        </c:scaling>
        <c:delete val="0"/>
        <c:axPos val="b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Annual Income ($'000)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1"/>
      </c:val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Spending Score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midCat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130679</xdr:rowOff>
    </xdr:from>
    <xdr:to>
      <xdr:col>9</xdr:col>
      <xdr:colOff>255960</xdr:colOff>
      <xdr:row>18</xdr:row>
      <xdr:rowOff>131760</xdr:rowOff>
    </xdr:to>
    <xdr:graphicFrame>
      <xdr:nvGraphicFramePr>
        <xdr:cNvPr id="2" name="Chart 1"/>
        <xdr:cNvGraphicFramePr/>
      </xdr:nvGraphicFramePr>
      <xdr:xfrm>
        <a:off x="0" y="378326"/>
        <a:ext cx="6428066" cy="323953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130679</xdr:rowOff>
    </xdr:from>
    <xdr:to>
      <xdr:col>9</xdr:col>
      <xdr:colOff>255960</xdr:colOff>
      <xdr:row>36</xdr:row>
      <xdr:rowOff>131760</xdr:rowOff>
    </xdr:to>
    <xdr:graphicFrame>
      <xdr:nvGraphicFramePr>
        <xdr:cNvPr id="3" name="Chart 2"/>
        <xdr:cNvGraphicFramePr/>
      </xdr:nvGraphicFramePr>
      <xdr:xfrm>
        <a:off x="0" y="3807274"/>
        <a:ext cx="6428066" cy="323953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130679</xdr:rowOff>
    </xdr:from>
    <xdr:to>
      <xdr:col>9</xdr:col>
      <xdr:colOff>255960</xdr:colOff>
      <xdr:row>54</xdr:row>
      <xdr:rowOff>131760</xdr:rowOff>
    </xdr:to>
    <xdr:graphicFrame>
      <xdr:nvGraphicFramePr>
        <xdr:cNvPr id="4" name="Chart 3"/>
        <xdr:cNvGraphicFramePr/>
      </xdr:nvGraphicFramePr>
      <xdr:xfrm>
        <a:off x="0" y="7236222"/>
        <a:ext cx="6428066" cy="323953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130679</xdr:rowOff>
    </xdr:from>
    <xdr:to>
      <xdr:col>19</xdr:col>
      <xdr:colOff>255960</xdr:colOff>
      <xdr:row>18</xdr:row>
      <xdr:rowOff>131760</xdr:rowOff>
    </xdr:to>
    <xdr:graphicFrame>
      <xdr:nvGraphicFramePr>
        <xdr:cNvPr id="5" name="Chart 4"/>
        <xdr:cNvGraphicFramePr/>
      </xdr:nvGraphicFramePr>
      <xdr:xfrm>
        <a:off x="6857895" y="378326"/>
        <a:ext cx="6428066" cy="323953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130679</xdr:rowOff>
    </xdr:from>
    <xdr:to>
      <xdr:col>19</xdr:col>
      <xdr:colOff>255960</xdr:colOff>
      <xdr:row>36</xdr:row>
      <xdr:rowOff>131760</xdr:rowOff>
    </xdr:to>
    <xdr:graphicFrame>
      <xdr:nvGraphicFramePr>
        <xdr:cNvPr id="6" name="Chart 5"/>
        <xdr:cNvGraphicFramePr/>
      </xdr:nvGraphicFramePr>
      <xdr:xfrm>
        <a:off x="6857895" y="3807274"/>
        <a:ext cx="6428066" cy="323953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201"/>
  <sheetViews>
    <sheetView tabSelected="1" zoomScale="60" zoomScaleNormal="60" topLeftCell="A1" workbookViewId="0">
      <selection activeCell="A1" activeCellId="0" sqref="A1"/>
    </sheetView>
  </sheetViews>
  <sheetFormatPr defaultRowHeight="15.0" defaultColWidth="8.625" x14ac:dyDescent="0.15"/>
  <cols>
    <col min="1" max="1" width="12.0" customWidth="1" style="1"/>
    <col min="2" max="2" width="10.0" customWidth="1" style="1"/>
    <col min="3" max="3" width="8.0" customWidth="1" style="1"/>
    <col min="4" max="4" width="12.0" customWidth="1" style="1"/>
    <col min="5" max="6" width="20.0" customWidth="1" style="1"/>
    <col min="7" max="8" width="16.0" customWidth="1" style="1"/>
    <col min="9" max="9" width="24.0" customWidth="1" style="1"/>
    <col min="10" max="10" width="12.0" customWidth="1" style="1"/>
  </cols>
  <sheetData>
    <row r="1" spans="1:10" ht="14.99977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15">
      <c r="A2" s="4">
        <v>1.0</v>
      </c>
      <c r="B2" s="4" t="s">
        <v>10</v>
      </c>
      <c r="C2" s="4">
        <v>58.0</v>
      </c>
      <c r="D2" s="4" t="s">
        <v>11</v>
      </c>
      <c r="E2" s="4">
        <v>92.3</v>
      </c>
      <c r="F2" s="4">
        <v>32.0</v>
      </c>
      <c r="G2" s="4" t="s">
        <v>12</v>
      </c>
      <c r="H2" s="4">
        <v>86.98</v>
      </c>
      <c r="I2" s="4">
        <f>E2*F2</f>
        <v>2953.6</v>
      </c>
      <c r="J2" s="4">
        <f>RANK(I2,$I$2:$I$201)+COUNTIF($I$2:I2,I2)-1</f>
        <v>89</v>
      </c>
    </row>
    <row r="3" spans="1:10" x14ac:dyDescent="0.15">
      <c r="A3" s="4">
        <v>2.0</v>
      </c>
      <c r="B3" s="4" t="s">
        <v>10</v>
      </c>
      <c r="C3" s="4">
        <v>24.0</v>
      </c>
      <c r="D3" s="4" t="s">
        <v>13</v>
      </c>
      <c r="E3" s="4">
        <v>32.7</v>
      </c>
      <c r="F3" s="4">
        <v>4.0</v>
      </c>
      <c r="G3" s="4" t="s">
        <v>14</v>
      </c>
      <c r="H3" s="4">
        <v>124.95</v>
      </c>
      <c r="I3" s="4">
        <f>E3*F3</f>
        <v>130.8</v>
      </c>
      <c r="J3" s="4">
        <f>RANK(I3,$I$2:$I$201)+COUNTIF($I$2:I3,I3)-1</f>
        <v>197</v>
      </c>
    </row>
    <row r="4" spans="1:10" x14ac:dyDescent="0.15">
      <c r="A4" s="4">
        <v>3.0</v>
      </c>
      <c r="B4" s="4" t="s">
        <v>10</v>
      </c>
      <c r="C4" s="4">
        <v>50.0</v>
      </c>
      <c r="D4" s="4" t="s">
        <v>13</v>
      </c>
      <c r="E4" s="4">
        <v>70.6</v>
      </c>
      <c r="F4" s="4">
        <v>84.0</v>
      </c>
      <c r="G4" s="4" t="s">
        <v>15</v>
      </c>
      <c r="H4" s="4">
        <v>221.37</v>
      </c>
      <c r="I4" s="4">
        <f>E4*F4</f>
        <v>5930.4</v>
      </c>
      <c r="J4" s="4">
        <f>RANK(I4,$I$2:$I$201)+COUNTIF($I$2:I4,I4)-1</f>
        <v>25</v>
      </c>
    </row>
    <row r="5" spans="1:10" x14ac:dyDescent="0.15">
      <c r="A5" s="4">
        <v>4.0</v>
      </c>
      <c r="B5" s="4" t="s">
        <v>16</v>
      </c>
      <c r="C5" s="4">
        <v>46.0</v>
      </c>
      <c r="D5" s="4" t="s">
        <v>11</v>
      </c>
      <c r="E5" s="4">
        <v>85.8</v>
      </c>
      <c r="F5" s="4">
        <v>21.0</v>
      </c>
      <c r="G5" s="4" t="s">
        <v>17</v>
      </c>
      <c r="H5" s="4">
        <v>183.32</v>
      </c>
      <c r="I5" s="4">
        <f>E5*F5</f>
        <v>1801.8</v>
      </c>
      <c r="J5" s="4">
        <f>RANK(I5,$I$2:$I$201)+COUNTIF($I$2:I5,I5)-1</f>
        <v>123</v>
      </c>
    </row>
    <row r="6" spans="1:10" x14ac:dyDescent="0.15">
      <c r="A6" s="4">
        <v>5.0</v>
      </c>
      <c r="B6" s="4" t="s">
        <v>10</v>
      </c>
      <c r="C6" s="4">
        <v>27.0</v>
      </c>
      <c r="D6" s="4" t="s">
        <v>18</v>
      </c>
      <c r="E6" s="4">
        <v>25.3</v>
      </c>
      <c r="F6" s="4">
        <v>49.0</v>
      </c>
      <c r="G6" s="4" t="s">
        <v>14</v>
      </c>
      <c r="H6" s="4">
        <v>192.31</v>
      </c>
      <c r="I6" s="4">
        <f>E6*F6</f>
        <v>1239.7</v>
      </c>
      <c r="J6" s="4">
        <f>RANK(I6,$I$2:$I$201)+COUNTIF($I$2:I6,I6)-1</f>
        <v>149</v>
      </c>
    </row>
    <row r="7" spans="1:10" x14ac:dyDescent="0.15">
      <c r="A7" s="4">
        <v>6.0</v>
      </c>
      <c r="B7" s="4" t="s">
        <v>16</v>
      </c>
      <c r="C7" s="4">
        <v>40.0</v>
      </c>
      <c r="D7" s="4" t="s">
        <v>11</v>
      </c>
      <c r="E7" s="4">
        <v>73.8</v>
      </c>
      <c r="F7" s="4">
        <v>69.0</v>
      </c>
      <c r="G7" s="4" t="s">
        <v>14</v>
      </c>
      <c r="H7" s="4">
        <v>487.1</v>
      </c>
      <c r="I7" s="4">
        <f>E7*F7</f>
        <v>5092.2</v>
      </c>
      <c r="J7" s="4">
        <f>RANK(I7,$I$2:$I$201)+COUNTIF($I$2:I7,I7)-1</f>
        <v>39</v>
      </c>
    </row>
    <row r="8" spans="1:10" x14ac:dyDescent="0.15">
      <c r="A8" s="4">
        <v>7.0</v>
      </c>
      <c r="B8" s="4" t="s">
        <v>10</v>
      </c>
      <c r="C8" s="4">
        <v>42.0</v>
      </c>
      <c r="D8" s="4" t="s">
        <v>13</v>
      </c>
      <c r="E8" s="4">
        <v>59.9</v>
      </c>
      <c r="F8" s="4">
        <v>81.0</v>
      </c>
      <c r="G8" s="4" t="s">
        <v>15</v>
      </c>
      <c r="H8" s="4">
        <v>445.02</v>
      </c>
      <c r="I8" s="4">
        <f>E8*F8</f>
        <v>4851.9</v>
      </c>
      <c r="J8" s="4">
        <f>RANK(I8,$I$2:$I$201)+COUNTIF($I$2:I8,I8)-1</f>
        <v>43</v>
      </c>
    </row>
    <row r="9" spans="1:10" x14ac:dyDescent="0.15">
      <c r="A9" s="4">
        <v>8.0</v>
      </c>
      <c r="B9" s="4" t="s">
        <v>10</v>
      </c>
      <c r="C9" s="4">
        <v>41.0</v>
      </c>
      <c r="D9" s="4" t="s">
        <v>11</v>
      </c>
      <c r="E9" s="4">
        <v>48.2</v>
      </c>
      <c r="F9" s="4">
        <v>30.0</v>
      </c>
      <c r="G9" s="4" t="s">
        <v>19</v>
      </c>
      <c r="H9" s="4">
        <v>492.91</v>
      </c>
      <c r="I9" s="4">
        <f>E9*F9</f>
        <v>1446</v>
      </c>
      <c r="J9" s="4">
        <f>RANK(I9,$I$2:$I$201)+COUNTIF($I$2:I9,I9)-1</f>
        <v>137</v>
      </c>
    </row>
    <row r="10" spans="1:10" x14ac:dyDescent="0.15">
      <c r="A10" s="4">
        <v>9.0</v>
      </c>
      <c r="B10" s="4" t="s">
        <v>10</v>
      </c>
      <c r="C10" s="4">
        <v>32.0</v>
      </c>
      <c r="D10" s="4" t="s">
        <v>20</v>
      </c>
      <c r="E10" s="4">
        <v>41.3</v>
      </c>
      <c r="F10" s="4">
        <v>82.0</v>
      </c>
      <c r="G10" s="4" t="s">
        <v>19</v>
      </c>
      <c r="H10" s="4">
        <v>98.07</v>
      </c>
      <c r="I10" s="4">
        <f>E10*F10</f>
        <v>3386.6</v>
      </c>
      <c r="J10" s="4">
        <f>RANK(I10,$I$2:$I$201)+COUNTIF($I$2:I10,I10)-1</f>
        <v>79</v>
      </c>
    </row>
    <row r="11" spans="1:10" x14ac:dyDescent="0.15">
      <c r="A11" s="4">
        <v>10.0</v>
      </c>
      <c r="B11" s="4" t="s">
        <v>10</v>
      </c>
      <c r="C11" s="4">
        <v>40.0</v>
      </c>
      <c r="D11" s="4" t="s">
        <v>18</v>
      </c>
      <c r="E11" s="4">
        <v>72.7</v>
      </c>
      <c r="F11" s="4">
        <v>88.0</v>
      </c>
      <c r="G11" s="4" t="s">
        <v>14</v>
      </c>
      <c r="H11" s="4">
        <v>312.38</v>
      </c>
      <c r="I11" s="4">
        <f>E11*F11</f>
        <v>6397.6</v>
      </c>
      <c r="J11" s="4">
        <f>RANK(I11,$I$2:$I$201)+COUNTIF($I$2:I11,I11)-1</f>
        <v>16</v>
      </c>
    </row>
    <row r="12" spans="1:10" x14ac:dyDescent="0.15">
      <c r="A12" s="4">
        <v>11.0</v>
      </c>
      <c r="B12" s="4" t="s">
        <v>10</v>
      </c>
      <c r="C12" s="4">
        <v>28.0</v>
      </c>
      <c r="D12" s="4" t="s">
        <v>21</v>
      </c>
      <c r="E12" s="4">
        <v>41.5</v>
      </c>
      <c r="F12" s="4">
        <v>35.0</v>
      </c>
      <c r="G12" s="4" t="s">
        <v>15</v>
      </c>
      <c r="H12" s="4">
        <v>125.42</v>
      </c>
      <c r="I12" s="4">
        <f>E12*F12</f>
        <v>1452.5</v>
      </c>
      <c r="J12" s="4">
        <f>RANK(I12,$I$2:$I$201)+COUNTIF($I$2:I12,I12)-1</f>
        <v>136</v>
      </c>
    </row>
    <row r="13" spans="1:10" x14ac:dyDescent="0.15">
      <c r="A13" s="4">
        <v>12.0</v>
      </c>
      <c r="B13" s="4" t="s">
        <v>10</v>
      </c>
      <c r="C13" s="4">
        <v>38.0</v>
      </c>
      <c r="D13" s="4" t="s">
        <v>21</v>
      </c>
      <c r="E13" s="4">
        <v>73.9</v>
      </c>
      <c r="F13" s="4">
        <v>41.0</v>
      </c>
      <c r="G13" s="4" t="s">
        <v>17</v>
      </c>
      <c r="H13" s="4">
        <v>148.52</v>
      </c>
      <c r="I13" s="4">
        <f>E13*F13</f>
        <v>3029.9</v>
      </c>
      <c r="J13" s="4">
        <f>RANK(I13,$I$2:$I$201)+COUNTIF($I$2:I13,I13)-1</f>
        <v>86</v>
      </c>
    </row>
    <row r="14" spans="1:10" x14ac:dyDescent="0.15">
      <c r="A14" s="4">
        <v>13.0</v>
      </c>
      <c r="B14" s="4" t="s">
        <v>16</v>
      </c>
      <c r="C14" s="4">
        <v>31.0</v>
      </c>
      <c r="D14" s="4" t="s">
        <v>21</v>
      </c>
      <c r="E14" s="4">
        <v>54.6</v>
      </c>
      <c r="F14" s="4">
        <v>51.0</v>
      </c>
      <c r="G14" s="4" t="s">
        <v>17</v>
      </c>
      <c r="H14" s="4">
        <v>88.58</v>
      </c>
      <c r="I14" s="4">
        <f>E14*F14</f>
        <v>2784.6</v>
      </c>
      <c r="J14" s="4">
        <f>RANK(I14,$I$2:$I$201)+COUNTIF($I$2:I14,I14)-1</f>
        <v>94</v>
      </c>
    </row>
    <row r="15" spans="1:10" x14ac:dyDescent="0.15">
      <c r="A15" s="4">
        <v>14.0</v>
      </c>
      <c r="B15" s="4" t="s">
        <v>10</v>
      </c>
      <c r="C15" s="4">
        <v>26.0</v>
      </c>
      <c r="D15" s="4" t="s">
        <v>13</v>
      </c>
      <c r="E15" s="4">
        <v>41.0</v>
      </c>
      <c r="F15" s="4">
        <v>96.0</v>
      </c>
      <c r="G15" s="4" t="s">
        <v>15</v>
      </c>
      <c r="H15" s="4">
        <v>225.65</v>
      </c>
      <c r="I15" s="4">
        <f>E15*F15</f>
        <v>3936</v>
      </c>
      <c r="J15" s="4">
        <f>RANK(I15,$I$2:$I$201)+COUNTIF($I$2:I15,I15)-1</f>
        <v>63</v>
      </c>
    </row>
    <row r="16" spans="1:10" x14ac:dyDescent="0.15">
      <c r="A16" s="4">
        <v>15.0</v>
      </c>
      <c r="B16" s="4" t="s">
        <v>16</v>
      </c>
      <c r="C16" s="4">
        <v>55.0</v>
      </c>
      <c r="D16" s="4" t="s">
        <v>18</v>
      </c>
      <c r="E16" s="4">
        <v>71.4</v>
      </c>
      <c r="F16" s="4">
        <v>18.0</v>
      </c>
      <c r="G16" s="4" t="s">
        <v>15</v>
      </c>
      <c r="H16" s="4">
        <v>256.89</v>
      </c>
      <c r="I16" s="4">
        <f>E16*F16</f>
        <v>1285.2</v>
      </c>
      <c r="J16" s="4">
        <f>RANK(I16,$I$2:$I$201)+COUNTIF($I$2:I16,I16)-1</f>
        <v>144</v>
      </c>
    </row>
    <row r="17" spans="1:10" x14ac:dyDescent="0.15">
      <c r="A17" s="4">
        <v>16.0</v>
      </c>
      <c r="B17" s="4" t="s">
        <v>10</v>
      </c>
      <c r="C17" s="4">
        <v>66.0</v>
      </c>
      <c r="D17" s="4" t="s">
        <v>11</v>
      </c>
      <c r="E17" s="4">
        <v>68.7</v>
      </c>
      <c r="F17" s="4">
        <v>21.0</v>
      </c>
      <c r="G17" s="4" t="s">
        <v>17</v>
      </c>
      <c r="H17" s="4">
        <v>306.28</v>
      </c>
      <c r="I17" s="4">
        <f>E17*F17</f>
        <v>1442.7</v>
      </c>
      <c r="J17" s="4">
        <f>RANK(I17,$I$2:$I$201)+COUNTIF($I$2:I17,I17)-1</f>
        <v>138</v>
      </c>
    </row>
    <row r="18" spans="1:10" x14ac:dyDescent="0.15">
      <c r="A18" s="4">
        <v>17.0</v>
      </c>
      <c r="B18" s="4" t="s">
        <v>16</v>
      </c>
      <c r="C18" s="4">
        <v>42.0</v>
      </c>
      <c r="D18" s="4" t="s">
        <v>13</v>
      </c>
      <c r="E18" s="4">
        <v>88.0</v>
      </c>
      <c r="F18" s="4">
        <v>68.0</v>
      </c>
      <c r="G18" s="4" t="s">
        <v>19</v>
      </c>
      <c r="H18" s="4">
        <v>486.12</v>
      </c>
      <c r="I18" s="4">
        <f>E18*F18</f>
        <v>5984</v>
      </c>
      <c r="J18" s="4">
        <f>RANK(I18,$I$2:$I$201)+COUNTIF($I$2:I18,I18)-1</f>
        <v>24</v>
      </c>
    </row>
    <row r="19" spans="1:10" x14ac:dyDescent="0.15">
      <c r="A19" s="4">
        <v>18.0</v>
      </c>
      <c r="B19" s="4" t="s">
        <v>10</v>
      </c>
      <c r="C19" s="4">
        <v>18.0</v>
      </c>
      <c r="D19" s="4" t="s">
        <v>13</v>
      </c>
      <c r="E19" s="4">
        <v>35.0</v>
      </c>
      <c r="F19" s="4">
        <v>99.0</v>
      </c>
      <c r="G19" s="4" t="s">
        <v>19</v>
      </c>
      <c r="H19" s="4">
        <v>73.55</v>
      </c>
      <c r="I19" s="4">
        <f>E19*F19</f>
        <v>3465</v>
      </c>
      <c r="J19" s="4">
        <f>RANK(I19,$I$2:$I$201)+COUNTIF($I$2:I19,I19)-1</f>
        <v>77</v>
      </c>
    </row>
    <row r="20" spans="1:10" x14ac:dyDescent="0.15">
      <c r="A20" s="4">
        <v>19.0</v>
      </c>
      <c r="B20" s="4" t="s">
        <v>10</v>
      </c>
      <c r="C20" s="4">
        <v>45.0</v>
      </c>
      <c r="D20" s="4" t="s">
        <v>20</v>
      </c>
      <c r="E20" s="4">
        <v>53.7</v>
      </c>
      <c r="F20" s="4">
        <v>93.0</v>
      </c>
      <c r="G20" s="4" t="s">
        <v>19</v>
      </c>
      <c r="H20" s="4">
        <v>486.51</v>
      </c>
      <c r="I20" s="4">
        <f>E20*F20</f>
        <v>4994.1</v>
      </c>
      <c r="J20" s="4">
        <f>RANK(I20,$I$2:$I$201)+COUNTIF($I$2:I20,I20)-1</f>
        <v>40</v>
      </c>
    </row>
    <row r="21" spans="1:10" x14ac:dyDescent="0.15">
      <c r="A21" s="4">
        <v>20.0</v>
      </c>
      <c r="B21" s="4" t="s">
        <v>10</v>
      </c>
      <c r="C21" s="4">
        <v>66.0</v>
      </c>
      <c r="D21" s="4" t="s">
        <v>13</v>
      </c>
      <c r="E21" s="4">
        <v>99.1</v>
      </c>
      <c r="F21" s="4">
        <v>81.0</v>
      </c>
      <c r="G21" s="4" t="s">
        <v>19</v>
      </c>
      <c r="H21" s="4">
        <v>424.0</v>
      </c>
      <c r="I21" s="4">
        <f>E21*F21</f>
        <v>8027.099999999999</v>
      </c>
      <c r="J21" s="4">
        <f>RANK(I21,$I$2:$I$201)+COUNTIF($I$2:I21,I21)-1</f>
        <v>4</v>
      </c>
    </row>
    <row r="22" spans="1:10" x14ac:dyDescent="0.15">
      <c r="A22" s="4">
        <v>21.0</v>
      </c>
      <c r="B22" s="4" t="s">
        <v>10</v>
      </c>
      <c r="C22" s="4">
        <v>50.0</v>
      </c>
      <c r="D22" s="4" t="s">
        <v>21</v>
      </c>
      <c r="E22" s="4">
        <v>77.6</v>
      </c>
      <c r="F22" s="4">
        <v>21.0</v>
      </c>
      <c r="G22" s="4" t="s">
        <v>15</v>
      </c>
      <c r="H22" s="4">
        <v>477.68</v>
      </c>
      <c r="I22" s="4">
        <f>E22*F22</f>
        <v>1629.6</v>
      </c>
      <c r="J22" s="4">
        <f>RANK(I22,$I$2:$I$201)+COUNTIF($I$2:I22,I22)-1</f>
        <v>130</v>
      </c>
    </row>
    <row r="23" spans="1:10" x14ac:dyDescent="0.15">
      <c r="A23" s="4">
        <v>22.0</v>
      </c>
      <c r="B23" s="4" t="s">
        <v>10</v>
      </c>
      <c r="C23" s="4">
        <v>51.0</v>
      </c>
      <c r="D23" s="4" t="s">
        <v>13</v>
      </c>
      <c r="E23" s="4">
        <v>75.6</v>
      </c>
      <c r="F23" s="4">
        <v>3.0</v>
      </c>
      <c r="G23" s="4" t="s">
        <v>14</v>
      </c>
      <c r="H23" s="4">
        <v>465.97</v>
      </c>
      <c r="I23" s="4">
        <f>E23*F23</f>
        <v>226.79999999999998</v>
      </c>
      <c r="J23" s="4">
        <f>RANK(I23,$I$2:$I$201)+COUNTIF($I$2:I23,I23)-1</f>
        <v>191</v>
      </c>
    </row>
    <row r="24" spans="1:10" x14ac:dyDescent="0.15">
      <c r="A24" s="4">
        <v>23.0</v>
      </c>
      <c r="B24" s="4" t="s">
        <v>16</v>
      </c>
      <c r="C24" s="4">
        <v>69.0</v>
      </c>
      <c r="D24" s="4" t="s">
        <v>21</v>
      </c>
      <c r="E24" s="4">
        <v>64.9</v>
      </c>
      <c r="F24" s="4">
        <v>73.0</v>
      </c>
      <c r="G24" s="4" t="s">
        <v>14</v>
      </c>
      <c r="H24" s="4">
        <v>61.11</v>
      </c>
      <c r="I24" s="4">
        <f>E24*F24</f>
        <v>4737.700000000001</v>
      </c>
      <c r="J24" s="4">
        <f>RANK(I24,$I$2:$I$201)+COUNTIF($I$2:I24,I24)-1</f>
        <v>46</v>
      </c>
    </row>
    <row r="25" spans="1:10" x14ac:dyDescent="0.15">
      <c r="A25" s="4">
        <v>24.0</v>
      </c>
      <c r="B25" s="4" t="s">
        <v>10</v>
      </c>
      <c r="C25" s="4">
        <v>49.0</v>
      </c>
      <c r="D25" s="4" t="s">
        <v>13</v>
      </c>
      <c r="E25" s="4">
        <v>91.4</v>
      </c>
      <c r="F25" s="4">
        <v>17.0</v>
      </c>
      <c r="G25" s="4" t="s">
        <v>17</v>
      </c>
      <c r="H25" s="4">
        <v>474.49</v>
      </c>
      <c r="I25" s="4">
        <f>E25*F25</f>
        <v>1553.8000000000002</v>
      </c>
      <c r="J25" s="4">
        <f>RANK(I25,$I$2:$I$201)+COUNTIF($I$2:I25,I25)-1</f>
        <v>134</v>
      </c>
    </row>
    <row r="26" spans="1:10" x14ac:dyDescent="0.15">
      <c r="A26" s="4">
        <v>25.0</v>
      </c>
      <c r="B26" s="4" t="s">
        <v>16</v>
      </c>
      <c r="C26" s="4">
        <v>28.0</v>
      </c>
      <c r="D26" s="4" t="s">
        <v>13</v>
      </c>
      <c r="E26" s="4">
        <v>57.9</v>
      </c>
      <c r="F26" s="4">
        <v>55.0</v>
      </c>
      <c r="G26" s="4" t="s">
        <v>12</v>
      </c>
      <c r="H26" s="4">
        <v>465.88</v>
      </c>
      <c r="I26" s="4">
        <f>E26*F26</f>
        <v>3184.5</v>
      </c>
      <c r="J26" s="4">
        <f>RANK(I26,$I$2:$I$201)+COUNTIF($I$2:I26,I26)-1</f>
        <v>84</v>
      </c>
    </row>
    <row r="27" spans="1:10" x14ac:dyDescent="0.15">
      <c r="A27" s="4">
        <v>26.0</v>
      </c>
      <c r="B27" s="4" t="s">
        <v>10</v>
      </c>
      <c r="C27" s="4">
        <v>66.0</v>
      </c>
      <c r="D27" s="4" t="s">
        <v>18</v>
      </c>
      <c r="E27" s="4">
        <v>78.6</v>
      </c>
      <c r="F27" s="4">
        <v>86.0</v>
      </c>
      <c r="G27" s="4" t="s">
        <v>19</v>
      </c>
      <c r="H27" s="4">
        <v>230.29</v>
      </c>
      <c r="I27" s="4">
        <f>E27*F27</f>
        <v>6759.599999999999</v>
      </c>
      <c r="J27" s="4">
        <f>RANK(I27,$I$2:$I$201)+COUNTIF($I$2:I27,I27)-1</f>
        <v>10</v>
      </c>
    </row>
    <row r="28" spans="1:10" x14ac:dyDescent="0.15">
      <c r="A28" s="4">
        <v>27.0</v>
      </c>
      <c r="B28" s="4" t="s">
        <v>16</v>
      </c>
      <c r="C28" s="4">
        <v>51.0</v>
      </c>
      <c r="D28" s="4" t="s">
        <v>11</v>
      </c>
      <c r="E28" s="4">
        <v>72.5</v>
      </c>
      <c r="F28" s="4">
        <v>9.0</v>
      </c>
      <c r="G28" s="4" t="s">
        <v>19</v>
      </c>
      <c r="H28" s="4">
        <v>30.1</v>
      </c>
      <c r="I28" s="4">
        <f>E28*F28</f>
        <v>652.5</v>
      </c>
      <c r="J28" s="4">
        <f>RANK(I28,$I$2:$I$201)+COUNTIF($I$2:I28,I28)-1</f>
        <v>169</v>
      </c>
    </row>
    <row r="29" spans="1:10" x14ac:dyDescent="0.15">
      <c r="A29" s="4">
        <v>28.0</v>
      </c>
      <c r="B29" s="4" t="s">
        <v>10</v>
      </c>
      <c r="C29" s="4">
        <v>53.0</v>
      </c>
      <c r="D29" s="4" t="s">
        <v>13</v>
      </c>
      <c r="E29" s="4">
        <v>71.4</v>
      </c>
      <c r="F29" s="4">
        <v>10.0</v>
      </c>
      <c r="G29" s="4" t="s">
        <v>14</v>
      </c>
      <c r="H29" s="4">
        <v>129.89</v>
      </c>
      <c r="I29" s="4">
        <f>E29*F29</f>
        <v>714</v>
      </c>
      <c r="J29" s="4">
        <f>RANK(I29,$I$2:$I$201)+COUNTIF($I$2:I29,I29)-1</f>
        <v>166</v>
      </c>
    </row>
    <row r="30" spans="1:10" x14ac:dyDescent="0.15">
      <c r="A30" s="4">
        <v>29.0</v>
      </c>
      <c r="B30" s="4" t="s">
        <v>16</v>
      </c>
      <c r="C30" s="4">
        <v>20.0</v>
      </c>
      <c r="D30" s="4" t="s">
        <v>11</v>
      </c>
      <c r="E30" s="4">
        <v>29.2</v>
      </c>
      <c r="F30" s="4">
        <v>36.0</v>
      </c>
      <c r="G30" s="4" t="s">
        <v>17</v>
      </c>
      <c r="H30" s="4">
        <v>122.83</v>
      </c>
      <c r="I30" s="4">
        <f>E30*F30</f>
        <v>1051.2</v>
      </c>
      <c r="J30" s="4">
        <f>RANK(I30,$I$2:$I$201)+COUNTIF($I$2:I30,I30)-1</f>
        <v>154</v>
      </c>
    </row>
    <row r="31" spans="1:10" x14ac:dyDescent="0.15">
      <c r="A31" s="4">
        <v>30.0</v>
      </c>
      <c r="B31" s="4" t="s">
        <v>16</v>
      </c>
      <c r="C31" s="4">
        <v>26.0</v>
      </c>
      <c r="D31" s="4" t="s">
        <v>21</v>
      </c>
      <c r="E31" s="4">
        <v>50.8</v>
      </c>
      <c r="F31" s="4">
        <v>53.0</v>
      </c>
      <c r="G31" s="4" t="s">
        <v>12</v>
      </c>
      <c r="H31" s="4">
        <v>65.28</v>
      </c>
      <c r="I31" s="4">
        <f>E31*F31</f>
        <v>2692.3999999999996</v>
      </c>
      <c r="J31" s="4">
        <f>RANK(I31,$I$2:$I$201)+COUNTIF($I$2:I31,I31)-1</f>
        <v>96</v>
      </c>
    </row>
    <row r="32" spans="1:10" x14ac:dyDescent="0.15">
      <c r="A32" s="4">
        <v>31.0</v>
      </c>
      <c r="B32" s="4" t="s">
        <v>16</v>
      </c>
      <c r="C32" s="4">
        <v>60.0</v>
      </c>
      <c r="D32" s="4" t="s">
        <v>18</v>
      </c>
      <c r="E32" s="4">
        <v>79.5</v>
      </c>
      <c r="F32" s="4">
        <v>60.0</v>
      </c>
      <c r="G32" s="4" t="s">
        <v>14</v>
      </c>
      <c r="H32" s="4">
        <v>343.21</v>
      </c>
      <c r="I32" s="4">
        <f>E32*F32</f>
        <v>4770</v>
      </c>
      <c r="J32" s="4">
        <f>RANK(I32,$I$2:$I$201)+COUNTIF($I$2:I32,I32)-1</f>
        <v>44</v>
      </c>
    </row>
    <row r="33" spans="1:10" x14ac:dyDescent="0.15">
      <c r="A33" s="4">
        <v>32.0</v>
      </c>
      <c r="B33" s="4" t="s">
        <v>10</v>
      </c>
      <c r="C33" s="4">
        <v>59.0</v>
      </c>
      <c r="D33" s="4" t="s">
        <v>11</v>
      </c>
      <c r="E33" s="4">
        <v>78.7</v>
      </c>
      <c r="F33" s="4">
        <v>44.0</v>
      </c>
      <c r="G33" s="4" t="s">
        <v>14</v>
      </c>
      <c r="H33" s="4">
        <v>139.36</v>
      </c>
      <c r="I33" s="4">
        <f>E33*F33</f>
        <v>3462.8</v>
      </c>
      <c r="J33" s="4">
        <f>RANK(I33,$I$2:$I$201)+COUNTIF($I$2:I33,I33)-1</f>
        <v>78</v>
      </c>
    </row>
    <row r="34" spans="1:10" x14ac:dyDescent="0.15">
      <c r="A34" s="4">
        <v>33.0</v>
      </c>
      <c r="B34" s="4" t="s">
        <v>16</v>
      </c>
      <c r="C34" s="4">
        <v>30.0</v>
      </c>
      <c r="D34" s="4" t="s">
        <v>21</v>
      </c>
      <c r="E34" s="4">
        <v>43.5</v>
      </c>
      <c r="F34" s="4">
        <v>36.0</v>
      </c>
      <c r="G34" s="4" t="s">
        <v>17</v>
      </c>
      <c r="H34" s="4">
        <v>139.91</v>
      </c>
      <c r="I34" s="4">
        <f>E34*F34</f>
        <v>1566</v>
      </c>
      <c r="J34" s="4">
        <f>RANK(I34,$I$2:$I$201)+COUNTIF($I$2:I34,I34)-1</f>
        <v>133</v>
      </c>
    </row>
    <row r="35" spans="1:10" x14ac:dyDescent="0.15">
      <c r="A35" s="4">
        <v>34.0</v>
      </c>
      <c r="B35" s="4" t="s">
        <v>16</v>
      </c>
      <c r="C35" s="4">
        <v>22.0</v>
      </c>
      <c r="D35" s="4" t="s">
        <v>13</v>
      </c>
      <c r="E35" s="4">
        <v>16.1</v>
      </c>
      <c r="F35" s="4">
        <v>84.0</v>
      </c>
      <c r="G35" s="4" t="s">
        <v>15</v>
      </c>
      <c r="H35" s="4">
        <v>421.29</v>
      </c>
      <c r="I35" s="4">
        <f>E35*F35</f>
        <v>1352.4</v>
      </c>
      <c r="J35" s="4">
        <f>RANK(I35,$I$2:$I$201)+COUNTIF($I$2:I35,I35)-1</f>
        <v>141</v>
      </c>
    </row>
    <row r="36" spans="1:10" x14ac:dyDescent="0.15">
      <c r="A36" s="4">
        <v>35.0</v>
      </c>
      <c r="B36" s="4" t="s">
        <v>10</v>
      </c>
      <c r="C36" s="4">
        <v>23.0</v>
      </c>
      <c r="D36" s="4" t="s">
        <v>21</v>
      </c>
      <c r="E36" s="4">
        <v>30.3</v>
      </c>
      <c r="F36" s="4">
        <v>62.0</v>
      </c>
      <c r="G36" s="4" t="s">
        <v>12</v>
      </c>
      <c r="H36" s="4">
        <v>435.03</v>
      </c>
      <c r="I36" s="4">
        <f>E36*F36</f>
        <v>1878.6000000000001</v>
      </c>
      <c r="J36" s="4">
        <f>RANK(I36,$I$2:$I$201)+COUNTIF($I$2:I36,I36)-1</f>
        <v>119</v>
      </c>
    </row>
    <row r="37" spans="1:10" x14ac:dyDescent="0.15">
      <c r="A37" s="4">
        <v>36.0</v>
      </c>
      <c r="B37" s="4" t="s">
        <v>10</v>
      </c>
      <c r="C37" s="4">
        <v>21.0</v>
      </c>
      <c r="D37" s="4" t="s">
        <v>20</v>
      </c>
      <c r="E37" s="4">
        <v>15.0</v>
      </c>
      <c r="F37" s="4">
        <v>50.0</v>
      </c>
      <c r="G37" s="4" t="s">
        <v>19</v>
      </c>
      <c r="H37" s="4">
        <v>464.73</v>
      </c>
      <c r="I37" s="4">
        <f>E37*F37</f>
        <v>750</v>
      </c>
      <c r="J37" s="4">
        <f>RANK(I37,$I$2:$I$201)+COUNTIF($I$2:I37,I37)-1</f>
        <v>162</v>
      </c>
    </row>
    <row r="38" spans="1:10" x14ac:dyDescent="0.15">
      <c r="A38" s="4">
        <v>37.0</v>
      </c>
      <c r="B38" s="4" t="s">
        <v>16</v>
      </c>
      <c r="C38" s="4">
        <v>68.0</v>
      </c>
      <c r="D38" s="4" t="s">
        <v>18</v>
      </c>
      <c r="E38" s="4">
        <v>79.5</v>
      </c>
      <c r="F38" s="4">
        <v>94.0</v>
      </c>
      <c r="G38" s="4" t="s">
        <v>15</v>
      </c>
      <c r="H38" s="4">
        <v>337.7</v>
      </c>
      <c r="I38" s="4">
        <f>E38*F38</f>
        <v>7473</v>
      </c>
      <c r="J38" s="4">
        <f>RANK(I38,$I$2:$I$201)+COUNTIF($I$2:I38,I38)-1</f>
        <v>5</v>
      </c>
    </row>
    <row r="39" spans="1:10" x14ac:dyDescent="0.15">
      <c r="A39" s="4">
        <v>38.0</v>
      </c>
      <c r="B39" s="4" t="s">
        <v>10</v>
      </c>
      <c r="C39" s="4">
        <v>49.0</v>
      </c>
      <c r="D39" s="4" t="s">
        <v>21</v>
      </c>
      <c r="E39" s="4">
        <v>72.7</v>
      </c>
      <c r="F39" s="4">
        <v>8.0</v>
      </c>
      <c r="G39" s="4" t="s">
        <v>15</v>
      </c>
      <c r="H39" s="4">
        <v>373.15</v>
      </c>
      <c r="I39" s="4">
        <f>E39*F39</f>
        <v>581.6</v>
      </c>
      <c r="J39" s="4">
        <f>RANK(I39,$I$2:$I$201)+COUNTIF($I$2:I39,I39)-1</f>
        <v>173</v>
      </c>
    </row>
    <row r="40" spans="1:10" x14ac:dyDescent="0.15">
      <c r="A40" s="4">
        <v>39.0</v>
      </c>
      <c r="B40" s="4" t="s">
        <v>16</v>
      </c>
      <c r="C40" s="4">
        <v>21.0</v>
      </c>
      <c r="D40" s="4" t="s">
        <v>11</v>
      </c>
      <c r="E40" s="4">
        <v>15.0</v>
      </c>
      <c r="F40" s="4">
        <v>62.0</v>
      </c>
      <c r="G40" s="4" t="s">
        <v>15</v>
      </c>
      <c r="H40" s="4">
        <v>461.31</v>
      </c>
      <c r="I40" s="4">
        <f>E40*F40</f>
        <v>930</v>
      </c>
      <c r="J40" s="4">
        <f>RANK(I40,$I$2:$I$201)+COUNTIF($I$2:I40,I40)-1</f>
        <v>158</v>
      </c>
    </row>
    <row r="41" spans="1:10" x14ac:dyDescent="0.15">
      <c r="A41" s="4">
        <v>40.0</v>
      </c>
      <c r="B41" s="4" t="s">
        <v>10</v>
      </c>
      <c r="C41" s="4">
        <v>51.0</v>
      </c>
      <c r="D41" s="4" t="s">
        <v>11</v>
      </c>
      <c r="E41" s="4">
        <v>101.0</v>
      </c>
      <c r="F41" s="4">
        <v>11.0</v>
      </c>
      <c r="G41" s="4" t="s">
        <v>12</v>
      </c>
      <c r="H41" s="4">
        <v>52.89</v>
      </c>
      <c r="I41" s="4">
        <f>E41*F41</f>
        <v>1111</v>
      </c>
      <c r="J41" s="4">
        <f>RANK(I41,$I$2:$I$201)+COUNTIF($I$2:I41,I41)-1</f>
        <v>151</v>
      </c>
    </row>
    <row r="42" spans="1:10" x14ac:dyDescent="0.15">
      <c r="A42" s="4">
        <v>41.0</v>
      </c>
      <c r="B42" s="4" t="s">
        <v>10</v>
      </c>
      <c r="C42" s="4">
        <v>22.0</v>
      </c>
      <c r="D42" s="4" t="s">
        <v>20</v>
      </c>
      <c r="E42" s="4">
        <v>17.0</v>
      </c>
      <c r="F42" s="4">
        <v>73.0</v>
      </c>
      <c r="G42" s="4" t="s">
        <v>12</v>
      </c>
      <c r="H42" s="4">
        <v>297.88</v>
      </c>
      <c r="I42" s="4">
        <f>E42*F42</f>
        <v>1241</v>
      </c>
      <c r="J42" s="4">
        <f>RANK(I42,$I$2:$I$201)+COUNTIF($I$2:I42,I42)-1</f>
        <v>148</v>
      </c>
    </row>
    <row r="43" spans="1:10" x14ac:dyDescent="0.15">
      <c r="A43" s="4">
        <v>42.0</v>
      </c>
      <c r="B43" s="4" t="s">
        <v>10</v>
      </c>
      <c r="C43" s="4">
        <v>20.0</v>
      </c>
      <c r="D43" s="4" t="s">
        <v>20</v>
      </c>
      <c r="E43" s="4">
        <v>34.9</v>
      </c>
      <c r="F43" s="4">
        <v>73.0</v>
      </c>
      <c r="G43" s="4" t="s">
        <v>15</v>
      </c>
      <c r="H43" s="4">
        <v>171.86</v>
      </c>
      <c r="I43" s="4">
        <f>E43*F43</f>
        <v>2547.7</v>
      </c>
      <c r="J43" s="4">
        <f>RANK(I43,$I$2:$I$201)+COUNTIF($I$2:I43,I43)-1</f>
        <v>104</v>
      </c>
    </row>
    <row r="44" spans="1:10" x14ac:dyDescent="0.15">
      <c r="A44" s="4">
        <v>43.0</v>
      </c>
      <c r="B44" s="4" t="s">
        <v>10</v>
      </c>
      <c r="C44" s="4">
        <v>34.0</v>
      </c>
      <c r="D44" s="4" t="s">
        <v>18</v>
      </c>
      <c r="E44" s="4">
        <v>43.3</v>
      </c>
      <c r="F44" s="4">
        <v>51.0</v>
      </c>
      <c r="G44" s="4" t="s">
        <v>12</v>
      </c>
      <c r="H44" s="4">
        <v>342.41</v>
      </c>
      <c r="I44" s="4">
        <f>E44*F44</f>
        <v>2208.2999999999997</v>
      </c>
      <c r="J44" s="4">
        <f>RANK(I44,$I$2:$I$201)+COUNTIF($I$2:I44,I44)-1</f>
        <v>110</v>
      </c>
    </row>
    <row r="45" spans="1:10" x14ac:dyDescent="0.15">
      <c r="A45" s="4">
        <v>44.0</v>
      </c>
      <c r="B45" s="4" t="s">
        <v>16</v>
      </c>
      <c r="C45" s="4">
        <v>37.0</v>
      </c>
      <c r="D45" s="4" t="s">
        <v>18</v>
      </c>
      <c r="E45" s="4">
        <v>76.4</v>
      </c>
      <c r="F45" s="4">
        <v>10.0</v>
      </c>
      <c r="G45" s="4" t="s">
        <v>14</v>
      </c>
      <c r="H45" s="4">
        <v>239.98</v>
      </c>
      <c r="I45" s="4">
        <f>E45*F45</f>
        <v>764</v>
      </c>
      <c r="J45" s="4">
        <f>RANK(I45,$I$2:$I$201)+COUNTIF($I$2:I45,I45)-1</f>
        <v>161</v>
      </c>
    </row>
    <row r="46" spans="1:10" x14ac:dyDescent="0.15">
      <c r="A46" s="4">
        <v>45.0</v>
      </c>
      <c r="B46" s="4" t="s">
        <v>10</v>
      </c>
      <c r="C46" s="4">
        <v>54.0</v>
      </c>
      <c r="D46" s="4" t="s">
        <v>11</v>
      </c>
      <c r="E46" s="4">
        <v>84.1</v>
      </c>
      <c r="F46" s="4">
        <v>65.0</v>
      </c>
      <c r="G46" s="4" t="s">
        <v>19</v>
      </c>
      <c r="H46" s="4">
        <v>83.58</v>
      </c>
      <c r="I46" s="4">
        <f>E46*F46</f>
        <v>5466.5</v>
      </c>
      <c r="J46" s="4">
        <f>RANK(I46,$I$2:$I$201)+COUNTIF($I$2:I46,I46)-1</f>
        <v>31</v>
      </c>
    </row>
    <row r="47" spans="1:10" x14ac:dyDescent="0.15">
      <c r="A47" s="4">
        <v>46.0</v>
      </c>
      <c r="B47" s="4" t="s">
        <v>10</v>
      </c>
      <c r="C47" s="4">
        <v>40.0</v>
      </c>
      <c r="D47" s="4" t="s">
        <v>21</v>
      </c>
      <c r="E47" s="4">
        <v>59.4</v>
      </c>
      <c r="F47" s="4">
        <v>21.0</v>
      </c>
      <c r="G47" s="4" t="s">
        <v>17</v>
      </c>
      <c r="H47" s="4">
        <v>420.2</v>
      </c>
      <c r="I47" s="4">
        <f>E47*F47</f>
        <v>1247.3999999999999</v>
      </c>
      <c r="J47" s="4">
        <f>RANK(I47,$I$2:$I$201)+COUNTIF($I$2:I47,I47)-1</f>
        <v>146</v>
      </c>
    </row>
    <row r="48" spans="1:10" x14ac:dyDescent="0.15">
      <c r="A48" s="4">
        <v>47.0</v>
      </c>
      <c r="B48" s="4" t="s">
        <v>16</v>
      </c>
      <c r="C48" s="4">
        <v>63.0</v>
      </c>
      <c r="D48" s="4" t="s">
        <v>13</v>
      </c>
      <c r="E48" s="4">
        <v>102.0</v>
      </c>
      <c r="F48" s="4">
        <v>84.0</v>
      </c>
      <c r="G48" s="4" t="s">
        <v>15</v>
      </c>
      <c r="H48" s="4">
        <v>23.76</v>
      </c>
      <c r="I48" s="4">
        <f>E48*F48</f>
        <v>8568</v>
      </c>
      <c r="J48" s="4">
        <f>RANK(I48,$I$2:$I$201)+COUNTIF($I$2:I48,I48)-1</f>
        <v>2</v>
      </c>
    </row>
    <row r="49" spans="1:10" x14ac:dyDescent="0.15">
      <c r="A49" s="4">
        <v>48.0</v>
      </c>
      <c r="B49" s="4" t="s">
        <v>16</v>
      </c>
      <c r="C49" s="4">
        <v>70.0</v>
      </c>
      <c r="D49" s="4" t="s">
        <v>11</v>
      </c>
      <c r="E49" s="4">
        <v>100.2</v>
      </c>
      <c r="F49" s="4">
        <v>18.0</v>
      </c>
      <c r="G49" s="4" t="s">
        <v>19</v>
      </c>
      <c r="H49" s="4">
        <v>75.41</v>
      </c>
      <c r="I49" s="4">
        <f>E49*F49</f>
        <v>1803.6000000000001</v>
      </c>
      <c r="J49" s="4">
        <f>RANK(I49,$I$2:$I$201)+COUNTIF($I$2:I49,I49)-1</f>
        <v>122</v>
      </c>
    </row>
    <row r="50" spans="1:10" x14ac:dyDescent="0.15">
      <c r="A50" s="4">
        <v>49.0</v>
      </c>
      <c r="B50" s="4" t="s">
        <v>10</v>
      </c>
      <c r="C50" s="4">
        <v>24.0</v>
      </c>
      <c r="D50" s="4" t="s">
        <v>18</v>
      </c>
      <c r="E50" s="4">
        <v>27.1</v>
      </c>
      <c r="F50" s="4">
        <v>27.0</v>
      </c>
      <c r="G50" s="4" t="s">
        <v>19</v>
      </c>
      <c r="H50" s="4">
        <v>117.73</v>
      </c>
      <c r="I50" s="4">
        <f>E50*F50</f>
        <v>731.7</v>
      </c>
      <c r="J50" s="4">
        <f>RANK(I50,$I$2:$I$201)+COUNTIF($I$2:I50,I50)-1</f>
        <v>164</v>
      </c>
    </row>
    <row r="51" spans="1:10" x14ac:dyDescent="0.15">
      <c r="A51" s="4">
        <v>50.0</v>
      </c>
      <c r="B51" s="4" t="s">
        <v>16</v>
      </c>
      <c r="C51" s="4">
        <v>58.0</v>
      </c>
      <c r="D51" s="4" t="s">
        <v>13</v>
      </c>
      <c r="E51" s="4">
        <v>82.1</v>
      </c>
      <c r="F51" s="4">
        <v>7.0</v>
      </c>
      <c r="G51" s="4" t="s">
        <v>14</v>
      </c>
      <c r="H51" s="4">
        <v>324.46</v>
      </c>
      <c r="I51" s="4">
        <f>E51*F51</f>
        <v>574.6999999999999</v>
      </c>
      <c r="J51" s="4">
        <f>RANK(I51,$I$2:$I$201)+COUNTIF($I$2:I51,I51)-1</f>
        <v>175</v>
      </c>
    </row>
    <row r="52" spans="1:10" x14ac:dyDescent="0.15">
      <c r="A52" s="4">
        <v>51.0</v>
      </c>
      <c r="B52" s="4" t="s">
        <v>10</v>
      </c>
      <c r="C52" s="4">
        <v>35.0</v>
      </c>
      <c r="D52" s="4" t="s">
        <v>11</v>
      </c>
      <c r="E52" s="4">
        <v>48.9</v>
      </c>
      <c r="F52" s="4">
        <v>17.0</v>
      </c>
      <c r="G52" s="4" t="s">
        <v>19</v>
      </c>
      <c r="H52" s="4">
        <v>97.56</v>
      </c>
      <c r="I52" s="4">
        <f>E52*F52</f>
        <v>831.3</v>
      </c>
      <c r="J52" s="4">
        <f>RANK(I52,$I$2:$I$201)+COUNTIF($I$2:I52,I52)-1</f>
        <v>160</v>
      </c>
    </row>
    <row r="53" spans="1:10" x14ac:dyDescent="0.15">
      <c r="A53" s="4">
        <v>52.0</v>
      </c>
      <c r="B53" s="4" t="s">
        <v>16</v>
      </c>
      <c r="C53" s="4">
        <v>46.0</v>
      </c>
      <c r="D53" s="4" t="s">
        <v>13</v>
      </c>
      <c r="E53" s="4">
        <v>55.8</v>
      </c>
      <c r="F53" s="4">
        <v>10.0</v>
      </c>
      <c r="G53" s="4" t="s">
        <v>12</v>
      </c>
      <c r="H53" s="4">
        <v>281.88</v>
      </c>
      <c r="I53" s="4">
        <f>E53*F53</f>
        <v>558</v>
      </c>
      <c r="J53" s="4">
        <f>RANK(I53,$I$2:$I$201)+COUNTIF($I$2:I53,I53)-1</f>
        <v>177</v>
      </c>
    </row>
    <row r="54" spans="1:10" x14ac:dyDescent="0.15">
      <c r="A54" s="4">
        <v>53.0</v>
      </c>
      <c r="B54" s="4" t="s">
        <v>10</v>
      </c>
      <c r="C54" s="4">
        <v>41.0</v>
      </c>
      <c r="D54" s="4" t="s">
        <v>20</v>
      </c>
      <c r="E54" s="4">
        <v>51.5</v>
      </c>
      <c r="F54" s="4">
        <v>40.0</v>
      </c>
      <c r="G54" s="4" t="s">
        <v>19</v>
      </c>
      <c r="H54" s="4">
        <v>451.51</v>
      </c>
      <c r="I54" s="4">
        <f>E54*F54</f>
        <v>2060</v>
      </c>
      <c r="J54" s="4">
        <f>RANK(I54,$I$2:$I$201)+COUNTIF($I$2:I54,I54)-1</f>
        <v>114</v>
      </c>
    </row>
    <row r="55" spans="1:10" x14ac:dyDescent="0.15">
      <c r="A55" s="4">
        <v>54.0</v>
      </c>
      <c r="B55" s="4" t="s">
        <v>10</v>
      </c>
      <c r="C55" s="4">
        <v>68.0</v>
      </c>
      <c r="D55" s="4" t="s">
        <v>18</v>
      </c>
      <c r="E55" s="4">
        <v>71.0</v>
      </c>
      <c r="F55" s="4">
        <v>32.0</v>
      </c>
      <c r="G55" s="4" t="s">
        <v>14</v>
      </c>
      <c r="H55" s="4">
        <v>189.77</v>
      </c>
      <c r="I55" s="4">
        <f>E55*F55</f>
        <v>2272</v>
      </c>
      <c r="J55" s="4">
        <f>RANK(I55,$I$2:$I$201)+COUNTIF($I$2:I55,I55)-1</f>
        <v>108</v>
      </c>
    </row>
    <row r="56" spans="1:10" x14ac:dyDescent="0.15">
      <c r="A56" s="4">
        <v>55.0</v>
      </c>
      <c r="B56" s="4" t="s">
        <v>16</v>
      </c>
      <c r="C56" s="4">
        <v>53.0</v>
      </c>
      <c r="D56" s="4" t="s">
        <v>13</v>
      </c>
      <c r="E56" s="4">
        <v>92.6</v>
      </c>
      <c r="F56" s="4">
        <v>31.0</v>
      </c>
      <c r="G56" s="4" t="s">
        <v>12</v>
      </c>
      <c r="H56" s="4">
        <v>488.58</v>
      </c>
      <c r="I56" s="4">
        <f>E56*F56</f>
        <v>2870.6</v>
      </c>
      <c r="J56" s="4">
        <f>RANK(I56,$I$2:$I$201)+COUNTIF($I$2:I56,I56)-1</f>
        <v>91</v>
      </c>
    </row>
    <row r="57" spans="1:10" x14ac:dyDescent="0.15">
      <c r="A57" s="4">
        <v>56.0</v>
      </c>
      <c r="B57" s="4" t="s">
        <v>10</v>
      </c>
      <c r="C57" s="4">
        <v>69.0</v>
      </c>
      <c r="D57" s="4" t="s">
        <v>20</v>
      </c>
      <c r="E57" s="4">
        <v>63.6</v>
      </c>
      <c r="F57" s="4">
        <v>95.0</v>
      </c>
      <c r="G57" s="4" t="s">
        <v>19</v>
      </c>
      <c r="H57" s="4">
        <v>395.55</v>
      </c>
      <c r="I57" s="4">
        <f>E57*F57</f>
        <v>6042</v>
      </c>
      <c r="J57" s="4">
        <f>RANK(I57,$I$2:$I$201)+COUNTIF($I$2:I57,I57)-1</f>
        <v>20</v>
      </c>
    </row>
    <row r="58" spans="1:10" x14ac:dyDescent="0.15">
      <c r="A58" s="4">
        <v>57.0</v>
      </c>
      <c r="B58" s="4" t="s">
        <v>10</v>
      </c>
      <c r="C58" s="4">
        <v>44.0</v>
      </c>
      <c r="D58" s="4" t="s">
        <v>18</v>
      </c>
      <c r="E58" s="4">
        <v>58.2</v>
      </c>
      <c r="F58" s="4">
        <v>90.0</v>
      </c>
      <c r="G58" s="4" t="s">
        <v>14</v>
      </c>
      <c r="H58" s="4">
        <v>203.62</v>
      </c>
      <c r="I58" s="4">
        <f>E58*F58</f>
        <v>5238</v>
      </c>
      <c r="J58" s="4">
        <f>RANK(I58,$I$2:$I$201)+COUNTIF($I$2:I58,I58)-1</f>
        <v>35</v>
      </c>
    </row>
    <row r="59" spans="1:10" x14ac:dyDescent="0.15">
      <c r="A59" s="4">
        <v>58.0</v>
      </c>
      <c r="B59" s="4" t="s">
        <v>16</v>
      </c>
      <c r="C59" s="4">
        <v>20.0</v>
      </c>
      <c r="D59" s="4" t="s">
        <v>21</v>
      </c>
      <c r="E59" s="4">
        <v>16.6</v>
      </c>
      <c r="F59" s="4">
        <v>59.0</v>
      </c>
      <c r="G59" s="4" t="s">
        <v>19</v>
      </c>
      <c r="H59" s="4">
        <v>166.49</v>
      </c>
      <c r="I59" s="4">
        <f>E59*F59</f>
        <v>979.4000000000001</v>
      </c>
      <c r="J59" s="4">
        <f>RANK(I59,$I$2:$I$201)+COUNTIF($I$2:I59,I59)-1</f>
        <v>156</v>
      </c>
    </row>
    <row r="60" spans="1:10" x14ac:dyDescent="0.15">
      <c r="A60" s="4">
        <v>59.0</v>
      </c>
      <c r="B60" s="4" t="s">
        <v>10</v>
      </c>
      <c r="C60" s="4">
        <v>68.0</v>
      </c>
      <c r="D60" s="4" t="s">
        <v>21</v>
      </c>
      <c r="E60" s="4">
        <v>63.5</v>
      </c>
      <c r="F60" s="4">
        <v>25.0</v>
      </c>
      <c r="G60" s="4" t="s">
        <v>17</v>
      </c>
      <c r="H60" s="4">
        <v>177.57</v>
      </c>
      <c r="I60" s="4">
        <f>E60*F60</f>
        <v>1587.5</v>
      </c>
      <c r="J60" s="4">
        <f>RANK(I60,$I$2:$I$201)+COUNTIF($I$2:I60,I60)-1</f>
        <v>132</v>
      </c>
    </row>
    <row r="61" spans="1:10" x14ac:dyDescent="0.15">
      <c r="A61" s="4">
        <v>60.0</v>
      </c>
      <c r="B61" s="4" t="s">
        <v>16</v>
      </c>
      <c r="C61" s="4">
        <v>22.0</v>
      </c>
      <c r="D61" s="4" t="s">
        <v>18</v>
      </c>
      <c r="E61" s="4">
        <v>37.9</v>
      </c>
      <c r="F61" s="4">
        <v>52.0</v>
      </c>
      <c r="G61" s="4" t="s">
        <v>15</v>
      </c>
      <c r="H61" s="4">
        <v>178.95</v>
      </c>
      <c r="I61" s="4">
        <f>E61*F61</f>
        <v>1970.8</v>
      </c>
      <c r="J61" s="4">
        <f>RANK(I61,$I$2:$I$201)+COUNTIF($I$2:I61,I61)-1</f>
        <v>117</v>
      </c>
    </row>
    <row r="62" spans="1:10" x14ac:dyDescent="0.15">
      <c r="A62" s="4">
        <v>61.0</v>
      </c>
      <c r="B62" s="4" t="s">
        <v>10</v>
      </c>
      <c r="C62" s="4">
        <v>19.0</v>
      </c>
      <c r="D62" s="4" t="s">
        <v>18</v>
      </c>
      <c r="E62" s="4">
        <v>15.0</v>
      </c>
      <c r="F62" s="4">
        <v>34.0</v>
      </c>
      <c r="G62" s="4" t="s">
        <v>14</v>
      </c>
      <c r="H62" s="4">
        <v>72.03</v>
      </c>
      <c r="I62" s="4">
        <f>E62*F62</f>
        <v>510</v>
      </c>
      <c r="J62" s="4">
        <f>RANK(I62,$I$2:$I$201)+COUNTIF($I$2:I62,I62)-1</f>
        <v>181</v>
      </c>
    </row>
    <row r="63" spans="1:10" x14ac:dyDescent="0.15">
      <c r="A63" s="4">
        <v>62.0</v>
      </c>
      <c r="B63" s="4" t="s">
        <v>16</v>
      </c>
      <c r="C63" s="4">
        <v>45.0</v>
      </c>
      <c r="D63" s="4" t="s">
        <v>18</v>
      </c>
      <c r="E63" s="4">
        <v>71.1</v>
      </c>
      <c r="F63" s="4">
        <v>66.0</v>
      </c>
      <c r="G63" s="4" t="s">
        <v>14</v>
      </c>
      <c r="H63" s="4">
        <v>204.89</v>
      </c>
      <c r="I63" s="4">
        <f>E63*F63</f>
        <v>4692.599999999999</v>
      </c>
      <c r="J63" s="4">
        <f>RANK(I63,$I$2:$I$201)+COUNTIF($I$2:I63,I63)-1</f>
        <v>47</v>
      </c>
    </row>
    <row r="64" spans="1:10" x14ac:dyDescent="0.15">
      <c r="A64" s="4">
        <v>63.0</v>
      </c>
      <c r="B64" s="4" t="s">
        <v>10</v>
      </c>
      <c r="C64" s="4">
        <v>54.0</v>
      </c>
      <c r="D64" s="4" t="s">
        <v>18</v>
      </c>
      <c r="E64" s="4">
        <v>64.4</v>
      </c>
      <c r="F64" s="4">
        <v>56.0</v>
      </c>
      <c r="G64" s="4" t="s">
        <v>14</v>
      </c>
      <c r="H64" s="4">
        <v>269.56</v>
      </c>
      <c r="I64" s="4">
        <f>E64*F64</f>
        <v>3606.4000000000005</v>
      </c>
      <c r="J64" s="4">
        <f>RANK(I64,$I$2:$I$201)+COUNTIF($I$2:I64,I64)-1</f>
        <v>74</v>
      </c>
    </row>
    <row r="65" spans="1:10" x14ac:dyDescent="0.15">
      <c r="A65" s="4">
        <v>64.0</v>
      </c>
      <c r="B65" s="4" t="s">
        <v>10</v>
      </c>
      <c r="C65" s="4">
        <v>69.0</v>
      </c>
      <c r="D65" s="4" t="s">
        <v>18</v>
      </c>
      <c r="E65" s="4">
        <v>79.9</v>
      </c>
      <c r="F65" s="4">
        <v>86.0</v>
      </c>
      <c r="G65" s="4" t="s">
        <v>19</v>
      </c>
      <c r="H65" s="4">
        <v>319.11</v>
      </c>
      <c r="I65" s="4">
        <f>E65*F65</f>
        <v>6871.400000000001</v>
      </c>
      <c r="J65" s="4">
        <f>RANK(I65,$I$2:$I$201)+COUNTIF($I$2:I65,I65)-1</f>
        <v>9</v>
      </c>
    </row>
    <row r="66" spans="1:10" x14ac:dyDescent="0.15">
      <c r="A66" s="4">
        <v>65.0</v>
      </c>
      <c r="B66" s="4" t="s">
        <v>10</v>
      </c>
      <c r="C66" s="4">
        <v>60.0</v>
      </c>
      <c r="D66" s="4" t="s">
        <v>18</v>
      </c>
      <c r="E66" s="4">
        <v>82.9</v>
      </c>
      <c r="F66" s="4">
        <v>86.0</v>
      </c>
      <c r="G66" s="4" t="s">
        <v>17</v>
      </c>
      <c r="H66" s="4">
        <v>176.57</v>
      </c>
      <c r="I66" s="4">
        <f>E66*F66</f>
        <v>7129.400000000001</v>
      </c>
      <c r="J66" s="4">
        <f>RANK(I66,$I$2:$I$201)+COUNTIF($I$2:I66,I66)-1</f>
        <v>7</v>
      </c>
    </row>
    <row r="67" spans="1:10" x14ac:dyDescent="0.15">
      <c r="A67" s="4">
        <v>66.0</v>
      </c>
      <c r="B67" s="4" t="s">
        <v>16</v>
      </c>
      <c r="C67" s="4">
        <v>62.0</v>
      </c>
      <c r="D67" s="4" t="s">
        <v>13</v>
      </c>
      <c r="E67" s="4">
        <v>67.7</v>
      </c>
      <c r="F67" s="4">
        <v>54.0</v>
      </c>
      <c r="G67" s="4" t="s">
        <v>17</v>
      </c>
      <c r="H67" s="4">
        <v>345.11</v>
      </c>
      <c r="I67" s="4">
        <f>E67*F67</f>
        <v>3655.8</v>
      </c>
      <c r="J67" s="4">
        <f>RANK(I67,$I$2:$I$201)+COUNTIF($I$2:I67,I67)-1</f>
        <v>71</v>
      </c>
    </row>
    <row r="68" spans="1:10" x14ac:dyDescent="0.15">
      <c r="A68" s="4">
        <v>67.0</v>
      </c>
      <c r="B68" s="4" t="s">
        <v>16</v>
      </c>
      <c r="C68" s="4">
        <v>29.0</v>
      </c>
      <c r="D68" s="4" t="s">
        <v>20</v>
      </c>
      <c r="E68" s="4">
        <v>46.7</v>
      </c>
      <c r="F68" s="4">
        <v>1.0</v>
      </c>
      <c r="G68" s="4" t="s">
        <v>19</v>
      </c>
      <c r="H68" s="4">
        <v>157.72</v>
      </c>
      <c r="I68" s="4">
        <f>E68*F68</f>
        <v>46.7</v>
      </c>
      <c r="J68" s="4">
        <f>RANK(I68,$I$2:$I$201)+COUNTIF($I$2:I68,I68)-1</f>
        <v>200</v>
      </c>
    </row>
    <row r="69" spans="1:10" x14ac:dyDescent="0.15">
      <c r="A69" s="4">
        <v>68.0</v>
      </c>
      <c r="B69" s="4" t="s">
        <v>16</v>
      </c>
      <c r="C69" s="4">
        <v>45.0</v>
      </c>
      <c r="D69" s="4" t="s">
        <v>20</v>
      </c>
      <c r="E69" s="4">
        <v>71.3</v>
      </c>
      <c r="F69" s="4">
        <v>87.0</v>
      </c>
      <c r="G69" s="4" t="s">
        <v>12</v>
      </c>
      <c r="H69" s="4">
        <v>265.36</v>
      </c>
      <c r="I69" s="4">
        <f>E69*F69</f>
        <v>6203.099999999999</v>
      </c>
      <c r="J69" s="4">
        <f>RANK(I69,$I$2:$I$201)+COUNTIF($I$2:I69,I69)-1</f>
        <v>18</v>
      </c>
    </row>
    <row r="70" spans="1:10" x14ac:dyDescent="0.15">
      <c r="A70" s="4">
        <v>69.0</v>
      </c>
      <c r="B70" s="4" t="s">
        <v>10</v>
      </c>
      <c r="C70" s="4">
        <v>68.0</v>
      </c>
      <c r="D70" s="4" t="s">
        <v>11</v>
      </c>
      <c r="E70" s="4">
        <v>74.0</v>
      </c>
      <c r="F70" s="4">
        <v>85.0</v>
      </c>
      <c r="G70" s="4" t="s">
        <v>15</v>
      </c>
      <c r="H70" s="4">
        <v>180.89</v>
      </c>
      <c r="I70" s="4">
        <f>E70*F70</f>
        <v>6290</v>
      </c>
      <c r="J70" s="4">
        <f>RANK(I70,$I$2:$I$201)+COUNTIF($I$2:I70,I70)-1</f>
        <v>17</v>
      </c>
    </row>
    <row r="71" spans="1:10" x14ac:dyDescent="0.15">
      <c r="A71" s="4">
        <v>70.0</v>
      </c>
      <c r="B71" s="4" t="s">
        <v>10</v>
      </c>
      <c r="C71" s="4">
        <v>70.0</v>
      </c>
      <c r="D71" s="4" t="s">
        <v>18</v>
      </c>
      <c r="E71" s="4">
        <v>71.6</v>
      </c>
      <c r="F71" s="4">
        <v>26.0</v>
      </c>
      <c r="G71" s="4" t="s">
        <v>12</v>
      </c>
      <c r="H71" s="4">
        <v>31.72</v>
      </c>
      <c r="I71" s="4">
        <f>E71*F71</f>
        <v>1861.6</v>
      </c>
      <c r="J71" s="4">
        <f>RANK(I71,$I$2:$I$201)+COUNTIF($I$2:I71,I71)-1</f>
        <v>121</v>
      </c>
    </row>
    <row r="72" spans="1:10" x14ac:dyDescent="0.15">
      <c r="A72" s="4">
        <v>71.0</v>
      </c>
      <c r="B72" s="4" t="s">
        <v>16</v>
      </c>
      <c r="C72" s="4">
        <v>33.0</v>
      </c>
      <c r="D72" s="4" t="s">
        <v>13</v>
      </c>
      <c r="E72" s="4">
        <v>66.0</v>
      </c>
      <c r="F72" s="4">
        <v>10.0</v>
      </c>
      <c r="G72" s="4" t="s">
        <v>17</v>
      </c>
      <c r="H72" s="4">
        <v>218.93</v>
      </c>
      <c r="I72" s="4">
        <f>E72*F72</f>
        <v>660</v>
      </c>
      <c r="J72" s="4">
        <f>RANK(I72,$I$2:$I$201)+COUNTIF($I$2:I72,I72)-1</f>
        <v>168</v>
      </c>
    </row>
    <row r="73" spans="1:10" x14ac:dyDescent="0.15">
      <c r="A73" s="4">
        <v>72.0</v>
      </c>
      <c r="B73" s="4" t="s">
        <v>10</v>
      </c>
      <c r="C73" s="4">
        <v>58.0</v>
      </c>
      <c r="D73" s="4" t="s">
        <v>20</v>
      </c>
      <c r="E73" s="4">
        <v>82.4</v>
      </c>
      <c r="F73" s="4">
        <v>32.0</v>
      </c>
      <c r="G73" s="4" t="s">
        <v>12</v>
      </c>
      <c r="H73" s="4">
        <v>334.91</v>
      </c>
      <c r="I73" s="4">
        <f>E73*F73</f>
        <v>2636.8</v>
      </c>
      <c r="J73" s="4">
        <f>RANK(I73,$I$2:$I$201)+COUNTIF($I$2:I73,I73)-1</f>
        <v>99</v>
      </c>
    </row>
    <row r="74" spans="1:10" x14ac:dyDescent="0.15">
      <c r="A74" s="4">
        <v>73.0</v>
      </c>
      <c r="B74" s="4" t="s">
        <v>10</v>
      </c>
      <c r="C74" s="4">
        <v>18.0</v>
      </c>
      <c r="D74" s="4" t="s">
        <v>20</v>
      </c>
      <c r="E74" s="4">
        <v>15.0</v>
      </c>
      <c r="F74" s="4">
        <v>90.0</v>
      </c>
      <c r="G74" s="4" t="s">
        <v>15</v>
      </c>
      <c r="H74" s="4">
        <v>242.98</v>
      </c>
      <c r="I74" s="4">
        <f>E74*F74</f>
        <v>1350</v>
      </c>
      <c r="J74" s="4">
        <f>RANK(I74,$I$2:$I$201)+COUNTIF($I$2:I74,I74)-1</f>
        <v>142</v>
      </c>
    </row>
    <row r="75" spans="1:10" x14ac:dyDescent="0.15">
      <c r="A75" s="4">
        <v>74.0</v>
      </c>
      <c r="B75" s="4" t="s">
        <v>10</v>
      </c>
      <c r="C75" s="4">
        <v>53.0</v>
      </c>
      <c r="D75" s="4" t="s">
        <v>11</v>
      </c>
      <c r="E75" s="4">
        <v>80.9</v>
      </c>
      <c r="F75" s="4">
        <v>60.0</v>
      </c>
      <c r="G75" s="4" t="s">
        <v>15</v>
      </c>
      <c r="H75" s="4">
        <v>494.19</v>
      </c>
      <c r="I75" s="4">
        <f>E75*F75</f>
        <v>4854</v>
      </c>
      <c r="J75" s="4">
        <f>RANK(I75,$I$2:$I$201)+COUNTIF($I$2:I75,I75)-1</f>
        <v>42</v>
      </c>
    </row>
    <row r="76" spans="1:10" x14ac:dyDescent="0.15">
      <c r="A76" s="4">
        <v>75.0</v>
      </c>
      <c r="B76" s="4" t="s">
        <v>16</v>
      </c>
      <c r="C76" s="4">
        <v>56.0</v>
      </c>
      <c r="D76" s="4" t="s">
        <v>20</v>
      </c>
      <c r="E76" s="4">
        <v>87.1</v>
      </c>
      <c r="F76" s="4">
        <v>93.0</v>
      </c>
      <c r="G76" s="4" t="s">
        <v>15</v>
      </c>
      <c r="H76" s="4">
        <v>224.84</v>
      </c>
      <c r="I76" s="4">
        <f>E76*F76</f>
        <v>8100.299999999999</v>
      </c>
      <c r="J76" s="4">
        <f>RANK(I76,$I$2:$I$201)+COUNTIF($I$2:I76,I76)-1</f>
        <v>3</v>
      </c>
    </row>
    <row r="77" spans="1:10" x14ac:dyDescent="0.15">
      <c r="A77" s="4">
        <v>76.0</v>
      </c>
      <c r="B77" s="4" t="s">
        <v>16</v>
      </c>
      <c r="C77" s="4">
        <v>53.0</v>
      </c>
      <c r="D77" s="4" t="s">
        <v>21</v>
      </c>
      <c r="E77" s="4">
        <v>92.3</v>
      </c>
      <c r="F77" s="4">
        <v>61.0</v>
      </c>
      <c r="G77" s="4" t="s">
        <v>17</v>
      </c>
      <c r="H77" s="4">
        <v>144.41</v>
      </c>
      <c r="I77" s="4">
        <f>E77*F77</f>
        <v>5630.3</v>
      </c>
      <c r="J77" s="4">
        <f>RANK(I77,$I$2:$I$201)+COUNTIF($I$2:I77,I77)-1</f>
        <v>28</v>
      </c>
    </row>
    <row r="78" spans="1:10" x14ac:dyDescent="0.15">
      <c r="A78" s="4">
        <v>77.0</v>
      </c>
      <c r="B78" s="4" t="s">
        <v>16</v>
      </c>
      <c r="C78" s="4">
        <v>33.0</v>
      </c>
      <c r="D78" s="4" t="s">
        <v>13</v>
      </c>
      <c r="E78" s="4">
        <v>51.4</v>
      </c>
      <c r="F78" s="4">
        <v>31.0</v>
      </c>
      <c r="G78" s="4" t="s">
        <v>19</v>
      </c>
      <c r="H78" s="4">
        <v>231.14</v>
      </c>
      <c r="I78" s="4">
        <f>E78*F78</f>
        <v>1593.3999999999999</v>
      </c>
      <c r="J78" s="4">
        <f>RANK(I78,$I$2:$I$201)+COUNTIF($I$2:I78,I78)-1</f>
        <v>131</v>
      </c>
    </row>
    <row r="79" spans="1:10" x14ac:dyDescent="0.15">
      <c r="A79" s="4">
        <v>78.0</v>
      </c>
      <c r="B79" s="4" t="s">
        <v>16</v>
      </c>
      <c r="C79" s="4">
        <v>63.0</v>
      </c>
      <c r="D79" s="4" t="s">
        <v>21</v>
      </c>
      <c r="E79" s="4">
        <v>73.5</v>
      </c>
      <c r="F79" s="4">
        <v>41.0</v>
      </c>
      <c r="G79" s="4" t="s">
        <v>15</v>
      </c>
      <c r="H79" s="4">
        <v>58.68</v>
      </c>
      <c r="I79" s="4">
        <f>E79*F79</f>
        <v>3013.5</v>
      </c>
      <c r="J79" s="4">
        <f>RANK(I79,$I$2:$I$201)+COUNTIF($I$2:I79,I79)-1</f>
        <v>87</v>
      </c>
    </row>
    <row r="80" spans="1:10" x14ac:dyDescent="0.15">
      <c r="A80" s="4">
        <v>79.0</v>
      </c>
      <c r="B80" s="4" t="s">
        <v>10</v>
      </c>
      <c r="C80" s="4">
        <v>27.0</v>
      </c>
      <c r="D80" s="4" t="s">
        <v>20</v>
      </c>
      <c r="E80" s="4">
        <v>49.0</v>
      </c>
      <c r="F80" s="4">
        <v>91.0</v>
      </c>
      <c r="G80" s="4" t="s">
        <v>12</v>
      </c>
      <c r="H80" s="4">
        <v>50.83</v>
      </c>
      <c r="I80" s="4">
        <f>E80*F80</f>
        <v>4459</v>
      </c>
      <c r="J80" s="4">
        <f>RANK(I80,$I$2:$I$201)+COUNTIF($I$2:I80,I80)-1</f>
        <v>51</v>
      </c>
    </row>
    <row r="81" spans="1:10" x14ac:dyDescent="0.15">
      <c r="A81" s="4">
        <v>80.0</v>
      </c>
      <c r="B81" s="4" t="s">
        <v>16</v>
      </c>
      <c r="C81" s="4">
        <v>44.0</v>
      </c>
      <c r="D81" s="4" t="s">
        <v>13</v>
      </c>
      <c r="E81" s="4">
        <v>70.4</v>
      </c>
      <c r="F81" s="4">
        <v>8.0</v>
      </c>
      <c r="G81" s="4" t="s">
        <v>12</v>
      </c>
      <c r="H81" s="4">
        <v>419.79</v>
      </c>
      <c r="I81" s="4">
        <f>E81*F81</f>
        <v>563.2</v>
      </c>
      <c r="J81" s="4">
        <f>RANK(I81,$I$2:$I$201)+COUNTIF($I$2:I81,I81)-1</f>
        <v>176</v>
      </c>
    </row>
    <row r="82" spans="1:10" x14ac:dyDescent="0.15">
      <c r="A82" s="4">
        <v>81.0</v>
      </c>
      <c r="B82" s="4" t="s">
        <v>10</v>
      </c>
      <c r="C82" s="4">
        <v>42.0</v>
      </c>
      <c r="D82" s="4" t="s">
        <v>13</v>
      </c>
      <c r="E82" s="4">
        <v>63.4</v>
      </c>
      <c r="F82" s="4">
        <v>1.0</v>
      </c>
      <c r="G82" s="4" t="s">
        <v>19</v>
      </c>
      <c r="H82" s="4">
        <v>163.33</v>
      </c>
      <c r="I82" s="4">
        <f>E82*F82</f>
        <v>63.4</v>
      </c>
      <c r="J82" s="4">
        <f>RANK(I82,$I$2:$I$201)+COUNTIF($I$2:I82,I82)-1</f>
        <v>199</v>
      </c>
    </row>
    <row r="83" spans="1:10" x14ac:dyDescent="0.15">
      <c r="A83" s="4">
        <v>82.0</v>
      </c>
      <c r="B83" s="4" t="s">
        <v>16</v>
      </c>
      <c r="C83" s="4">
        <v>42.0</v>
      </c>
      <c r="D83" s="4" t="s">
        <v>13</v>
      </c>
      <c r="E83" s="4">
        <v>78.1</v>
      </c>
      <c r="F83" s="4">
        <v>70.0</v>
      </c>
      <c r="G83" s="4" t="s">
        <v>15</v>
      </c>
      <c r="H83" s="4">
        <v>450.95</v>
      </c>
      <c r="I83" s="4">
        <f>E83*F83</f>
        <v>5467</v>
      </c>
      <c r="J83" s="4">
        <f>RANK(I83,$I$2:$I$201)+COUNTIF($I$2:I83,I83)-1</f>
        <v>30</v>
      </c>
    </row>
    <row r="84" spans="1:10" x14ac:dyDescent="0.15">
      <c r="A84" s="4">
        <v>83.0</v>
      </c>
      <c r="B84" s="4" t="s">
        <v>10</v>
      </c>
      <c r="C84" s="4">
        <v>49.0</v>
      </c>
      <c r="D84" s="4" t="s">
        <v>18</v>
      </c>
      <c r="E84" s="4">
        <v>78.2</v>
      </c>
      <c r="F84" s="4">
        <v>4.0</v>
      </c>
      <c r="G84" s="4" t="s">
        <v>17</v>
      </c>
      <c r="H84" s="4">
        <v>181.34</v>
      </c>
      <c r="I84" s="4">
        <f>E84*F84</f>
        <v>312.8</v>
      </c>
      <c r="J84" s="4">
        <f>RANK(I84,$I$2:$I$201)+COUNTIF($I$2:I84,I84)-1</f>
        <v>188</v>
      </c>
    </row>
    <row r="85" spans="1:10" x14ac:dyDescent="0.15">
      <c r="A85" s="4">
        <v>84.0</v>
      </c>
      <c r="B85" s="4" t="s">
        <v>16</v>
      </c>
      <c r="C85" s="4">
        <v>61.0</v>
      </c>
      <c r="D85" s="4" t="s">
        <v>21</v>
      </c>
      <c r="E85" s="4">
        <v>96.2</v>
      </c>
      <c r="F85" s="4">
        <v>17.0</v>
      </c>
      <c r="G85" s="4" t="s">
        <v>15</v>
      </c>
      <c r="H85" s="4">
        <v>276.38</v>
      </c>
      <c r="I85" s="4">
        <f>E85*F85</f>
        <v>1635.4</v>
      </c>
      <c r="J85" s="4">
        <f>RANK(I85,$I$2:$I$201)+COUNTIF($I$2:I85,I85)-1</f>
        <v>129</v>
      </c>
    </row>
    <row r="86" spans="1:10" x14ac:dyDescent="0.15">
      <c r="A86" s="4">
        <v>85.0</v>
      </c>
      <c r="B86" s="4" t="s">
        <v>10</v>
      </c>
      <c r="C86" s="4">
        <v>43.0</v>
      </c>
      <c r="D86" s="4" t="s">
        <v>11</v>
      </c>
      <c r="E86" s="4">
        <v>75.7</v>
      </c>
      <c r="F86" s="4">
        <v>18.0</v>
      </c>
      <c r="G86" s="4" t="s">
        <v>17</v>
      </c>
      <c r="H86" s="4">
        <v>107.23</v>
      </c>
      <c r="I86" s="4">
        <f>E86*F86</f>
        <v>1362.6000000000001</v>
      </c>
      <c r="J86" s="4">
        <f>RANK(I86,$I$2:$I$201)+COUNTIF($I$2:I86,I86)-1</f>
        <v>140</v>
      </c>
    </row>
    <row r="87" spans="1:10" x14ac:dyDescent="0.15">
      <c r="A87" s="4">
        <v>86.0</v>
      </c>
      <c r="B87" s="4" t="s">
        <v>16</v>
      </c>
      <c r="C87" s="4">
        <v>34.0</v>
      </c>
      <c r="D87" s="4" t="s">
        <v>18</v>
      </c>
      <c r="E87" s="4">
        <v>42.3</v>
      </c>
      <c r="F87" s="4">
        <v>42.0</v>
      </c>
      <c r="G87" s="4" t="s">
        <v>19</v>
      </c>
      <c r="H87" s="4">
        <v>385.39</v>
      </c>
      <c r="I87" s="4">
        <f>E87*F87</f>
        <v>1776.6</v>
      </c>
      <c r="J87" s="4">
        <f>RANK(I87,$I$2:$I$201)+COUNTIF($I$2:I87,I87)-1</f>
        <v>124</v>
      </c>
    </row>
    <row r="88" spans="1:10" x14ac:dyDescent="0.15">
      <c r="A88" s="4">
        <v>87.0</v>
      </c>
      <c r="B88" s="4" t="s">
        <v>16</v>
      </c>
      <c r="C88" s="4">
        <v>42.0</v>
      </c>
      <c r="D88" s="4" t="s">
        <v>20</v>
      </c>
      <c r="E88" s="4">
        <v>58.3</v>
      </c>
      <c r="F88" s="4">
        <v>11.0</v>
      </c>
      <c r="G88" s="4" t="s">
        <v>17</v>
      </c>
      <c r="H88" s="4">
        <v>29.3</v>
      </c>
      <c r="I88" s="4">
        <f>E88*F88</f>
        <v>641.3</v>
      </c>
      <c r="J88" s="4">
        <f>RANK(I88,$I$2:$I$201)+COUNTIF($I$2:I88,I88)-1</f>
        <v>171</v>
      </c>
    </row>
    <row r="89" spans="1:10" x14ac:dyDescent="0.15">
      <c r="A89" s="4">
        <v>88.0</v>
      </c>
      <c r="B89" s="4" t="s">
        <v>10</v>
      </c>
      <c r="C89" s="4">
        <v>52.0</v>
      </c>
      <c r="D89" s="4" t="s">
        <v>18</v>
      </c>
      <c r="E89" s="4">
        <v>71.6</v>
      </c>
      <c r="F89" s="4">
        <v>9.0</v>
      </c>
      <c r="G89" s="4" t="s">
        <v>14</v>
      </c>
      <c r="H89" s="4">
        <v>382.03</v>
      </c>
      <c r="I89" s="4">
        <f>E89*F89</f>
        <v>644.4</v>
      </c>
      <c r="J89" s="4">
        <f>RANK(I89,$I$2:$I$201)+COUNTIF($I$2:I89,I89)-1</f>
        <v>170</v>
      </c>
    </row>
    <row r="90" spans="1:10" x14ac:dyDescent="0.15">
      <c r="A90" s="4">
        <v>89.0</v>
      </c>
      <c r="B90" s="4" t="s">
        <v>10</v>
      </c>
      <c r="C90" s="4">
        <v>33.0</v>
      </c>
      <c r="D90" s="4" t="s">
        <v>11</v>
      </c>
      <c r="E90" s="4">
        <v>56.9</v>
      </c>
      <c r="F90" s="4">
        <v>31.0</v>
      </c>
      <c r="G90" s="4" t="s">
        <v>12</v>
      </c>
      <c r="H90" s="4">
        <v>247.31</v>
      </c>
      <c r="I90" s="4">
        <f>E90*F90</f>
        <v>1763.8999999999999</v>
      </c>
      <c r="J90" s="4">
        <f>RANK(I90,$I$2:$I$201)+COUNTIF($I$2:I90,I90)-1</f>
        <v>125</v>
      </c>
    </row>
    <row r="91" spans="1:10" x14ac:dyDescent="0.15">
      <c r="A91" s="4">
        <v>90.0</v>
      </c>
      <c r="B91" s="4" t="s">
        <v>10</v>
      </c>
      <c r="C91" s="4">
        <v>25.0</v>
      </c>
      <c r="D91" s="4" t="s">
        <v>20</v>
      </c>
      <c r="E91" s="4">
        <v>45.6</v>
      </c>
      <c r="F91" s="4">
        <v>99.0</v>
      </c>
      <c r="G91" s="4" t="s">
        <v>19</v>
      </c>
      <c r="H91" s="4">
        <v>100.54</v>
      </c>
      <c r="I91" s="4">
        <f>E91*F91</f>
        <v>4514.400000000001</v>
      </c>
      <c r="J91" s="4">
        <f>RANK(I91,$I$2:$I$201)+COUNTIF($I$2:I91,I91)-1</f>
        <v>50</v>
      </c>
    </row>
    <row r="92" spans="1:10" x14ac:dyDescent="0.15">
      <c r="A92" s="4">
        <v>91.0</v>
      </c>
      <c r="B92" s="4" t="s">
        <v>10</v>
      </c>
      <c r="C92" s="4">
        <v>56.0</v>
      </c>
      <c r="D92" s="4" t="s">
        <v>21</v>
      </c>
      <c r="E92" s="4">
        <v>101.2</v>
      </c>
      <c r="F92" s="4">
        <v>14.0</v>
      </c>
      <c r="G92" s="4" t="s">
        <v>15</v>
      </c>
      <c r="H92" s="4">
        <v>32.33</v>
      </c>
      <c r="I92" s="4">
        <f>E92*F92</f>
        <v>1416.8</v>
      </c>
      <c r="J92" s="4">
        <f>RANK(I92,$I$2:$I$201)+COUNTIF($I$2:I92,I92)-1</f>
        <v>139</v>
      </c>
    </row>
    <row r="93" spans="1:10" x14ac:dyDescent="0.15">
      <c r="A93" s="4">
        <v>92.0</v>
      </c>
      <c r="B93" s="4" t="s">
        <v>16</v>
      </c>
      <c r="C93" s="4">
        <v>37.0</v>
      </c>
      <c r="D93" s="4" t="s">
        <v>20</v>
      </c>
      <c r="E93" s="4">
        <v>76.9</v>
      </c>
      <c r="F93" s="4">
        <v>26.0</v>
      </c>
      <c r="G93" s="4" t="s">
        <v>14</v>
      </c>
      <c r="H93" s="4">
        <v>304.21</v>
      </c>
      <c r="I93" s="4">
        <f>E93*F93</f>
        <v>1999.4</v>
      </c>
      <c r="J93" s="4">
        <f>RANK(I93,$I$2:$I$201)+COUNTIF($I$2:I93,I93)-1</f>
        <v>116</v>
      </c>
    </row>
    <row r="94" spans="1:10" x14ac:dyDescent="0.15">
      <c r="A94" s="4">
        <v>93.0</v>
      </c>
      <c r="B94" s="4" t="s">
        <v>10</v>
      </c>
      <c r="C94" s="4">
        <v>58.0</v>
      </c>
      <c r="D94" s="4" t="s">
        <v>11</v>
      </c>
      <c r="E94" s="4">
        <v>90.5</v>
      </c>
      <c r="F94" s="4">
        <v>39.0</v>
      </c>
      <c r="G94" s="4" t="s">
        <v>15</v>
      </c>
      <c r="H94" s="4">
        <v>406.65</v>
      </c>
      <c r="I94" s="4">
        <f>E94*F94</f>
        <v>3529.5</v>
      </c>
      <c r="J94" s="4">
        <f>RANK(I94,$I$2:$I$201)+COUNTIF($I$2:I94,I94)-1</f>
        <v>76</v>
      </c>
    </row>
    <row r="95" spans="1:10" x14ac:dyDescent="0.15">
      <c r="A95" s="4">
        <v>94.0</v>
      </c>
      <c r="B95" s="4" t="s">
        <v>10</v>
      </c>
      <c r="C95" s="4">
        <v>68.0</v>
      </c>
      <c r="D95" s="4" t="s">
        <v>18</v>
      </c>
      <c r="E95" s="4">
        <v>83.9</v>
      </c>
      <c r="F95" s="4">
        <v>85.0</v>
      </c>
      <c r="G95" s="4" t="s">
        <v>19</v>
      </c>
      <c r="H95" s="4">
        <v>53.1</v>
      </c>
      <c r="I95" s="4">
        <f>E95*F95</f>
        <v>7131.500000000001</v>
      </c>
      <c r="J95" s="4">
        <f>RANK(I95,$I$2:$I$201)+COUNTIF($I$2:I95,I95)-1</f>
        <v>6</v>
      </c>
    </row>
    <row r="96" spans="1:10" x14ac:dyDescent="0.15">
      <c r="A96" s="4">
        <v>95.0</v>
      </c>
      <c r="B96" s="4" t="s">
        <v>16</v>
      </c>
      <c r="C96" s="4">
        <v>59.0</v>
      </c>
      <c r="D96" s="4" t="s">
        <v>11</v>
      </c>
      <c r="E96" s="4">
        <v>96.6</v>
      </c>
      <c r="F96" s="4">
        <v>63.0</v>
      </c>
      <c r="G96" s="4" t="s">
        <v>14</v>
      </c>
      <c r="H96" s="4">
        <v>228.09</v>
      </c>
      <c r="I96" s="4">
        <f>E96*F96</f>
        <v>6085.799999999999</v>
      </c>
      <c r="J96" s="4">
        <f>RANK(I96,$I$2:$I$201)+COUNTIF($I$2:I96,I96)-1</f>
        <v>19</v>
      </c>
    </row>
    <row r="97" spans="1:10" x14ac:dyDescent="0.15">
      <c r="A97" s="4">
        <v>96.0</v>
      </c>
      <c r="B97" s="4" t="s">
        <v>16</v>
      </c>
      <c r="C97" s="4">
        <v>41.0</v>
      </c>
      <c r="D97" s="4" t="s">
        <v>21</v>
      </c>
      <c r="E97" s="4">
        <v>63.8</v>
      </c>
      <c r="F97" s="4">
        <v>94.0</v>
      </c>
      <c r="G97" s="4" t="s">
        <v>15</v>
      </c>
      <c r="H97" s="4">
        <v>483.43</v>
      </c>
      <c r="I97" s="4">
        <f>E97*F97</f>
        <v>5997.2</v>
      </c>
      <c r="J97" s="4">
        <f>RANK(I97,$I$2:$I$201)+COUNTIF($I$2:I97,I97)-1</f>
        <v>23</v>
      </c>
    </row>
    <row r="98" spans="1:10" x14ac:dyDescent="0.15">
      <c r="A98" s="4">
        <v>97.0</v>
      </c>
      <c r="B98" s="4" t="s">
        <v>16</v>
      </c>
      <c r="C98" s="4">
        <v>35.0</v>
      </c>
      <c r="D98" s="4" t="s">
        <v>20</v>
      </c>
      <c r="E98" s="4">
        <v>53.0</v>
      </c>
      <c r="F98" s="4">
        <v>94.0</v>
      </c>
      <c r="G98" s="4" t="s">
        <v>15</v>
      </c>
      <c r="H98" s="4">
        <v>148.83</v>
      </c>
      <c r="I98" s="4">
        <f>E98*F98</f>
        <v>4982</v>
      </c>
      <c r="J98" s="4">
        <f>RANK(I98,$I$2:$I$201)+COUNTIF($I$2:I98,I98)-1</f>
        <v>41</v>
      </c>
    </row>
    <row r="99" spans="1:10" x14ac:dyDescent="0.15">
      <c r="A99" s="4">
        <v>98.0</v>
      </c>
      <c r="B99" s="4" t="s">
        <v>10</v>
      </c>
      <c r="C99" s="4">
        <v>33.0</v>
      </c>
      <c r="D99" s="4" t="s">
        <v>18</v>
      </c>
      <c r="E99" s="4">
        <v>67.3</v>
      </c>
      <c r="F99" s="4">
        <v>32.0</v>
      </c>
      <c r="G99" s="4" t="s">
        <v>17</v>
      </c>
      <c r="H99" s="4">
        <v>293.53</v>
      </c>
      <c r="I99" s="4">
        <f>E99*F99</f>
        <v>2153.6</v>
      </c>
      <c r="J99" s="4">
        <f>RANK(I99,$I$2:$I$201)+COUNTIF($I$2:I99,I99)-1</f>
        <v>113</v>
      </c>
    </row>
    <row r="100" spans="1:10" x14ac:dyDescent="0.15">
      <c r="A100" s="4">
        <v>99.0</v>
      </c>
      <c r="B100" s="4" t="s">
        <v>16</v>
      </c>
      <c r="C100" s="4">
        <v>60.0</v>
      </c>
      <c r="D100" s="4" t="s">
        <v>18</v>
      </c>
      <c r="E100" s="4">
        <v>63.7</v>
      </c>
      <c r="F100" s="4">
        <v>42.0</v>
      </c>
      <c r="G100" s="4" t="s">
        <v>12</v>
      </c>
      <c r="H100" s="4">
        <v>254.02</v>
      </c>
      <c r="I100" s="4">
        <f>E100*F100</f>
        <v>2675.4</v>
      </c>
      <c r="J100" s="4">
        <f>RANK(I100,$I$2:$I$201)+COUNTIF($I$2:I100,I100)-1</f>
        <v>97</v>
      </c>
    </row>
    <row r="101" spans="1:10" x14ac:dyDescent="0.15">
      <c r="A101" s="4">
        <v>100.0</v>
      </c>
      <c r="B101" s="4" t="s">
        <v>16</v>
      </c>
      <c r="C101" s="4">
        <v>40.0</v>
      </c>
      <c r="D101" s="4" t="s">
        <v>18</v>
      </c>
      <c r="E101" s="4">
        <v>55.8</v>
      </c>
      <c r="F101" s="4">
        <v>77.0</v>
      </c>
      <c r="G101" s="4" t="s">
        <v>19</v>
      </c>
      <c r="H101" s="4">
        <v>286.78</v>
      </c>
      <c r="I101" s="4">
        <f>E101*F101</f>
        <v>4296.599999999999</v>
      </c>
      <c r="J101" s="4">
        <f>RANK(I101,$I$2:$I$201)+COUNTIF($I$2:I101,I101)-1</f>
        <v>57</v>
      </c>
    </row>
    <row r="102" spans="1:10" x14ac:dyDescent="0.15">
      <c r="A102" s="4">
        <v>101.0</v>
      </c>
      <c r="B102" s="4" t="s">
        <v>10</v>
      </c>
      <c r="C102" s="4">
        <v>51.0</v>
      </c>
      <c r="D102" s="4" t="s">
        <v>11</v>
      </c>
      <c r="E102" s="4">
        <v>72.3</v>
      </c>
      <c r="F102" s="4">
        <v>53.0</v>
      </c>
      <c r="G102" s="4" t="s">
        <v>17</v>
      </c>
      <c r="H102" s="4">
        <v>286.48</v>
      </c>
      <c r="I102" s="4">
        <f>E102*F102</f>
        <v>3831.8999999999996</v>
      </c>
      <c r="J102" s="4">
        <f>RANK(I102,$I$2:$I$201)+COUNTIF($I$2:I102,I102)-1</f>
        <v>66</v>
      </c>
    </row>
    <row r="103" spans="1:10" x14ac:dyDescent="0.15">
      <c r="A103" s="4">
        <v>102.0</v>
      </c>
      <c r="B103" s="4" t="s">
        <v>16</v>
      </c>
      <c r="C103" s="4">
        <v>33.0</v>
      </c>
      <c r="D103" s="4" t="s">
        <v>20</v>
      </c>
      <c r="E103" s="4">
        <v>49.9</v>
      </c>
      <c r="F103" s="4">
        <v>3.0</v>
      </c>
      <c r="G103" s="4" t="s">
        <v>14</v>
      </c>
      <c r="H103" s="4">
        <v>161.23</v>
      </c>
      <c r="I103" s="4">
        <f>E103*F103</f>
        <v>149.7</v>
      </c>
      <c r="J103" s="4">
        <f>RANK(I103,$I$2:$I$201)+COUNTIF($I$2:I103,I103)-1</f>
        <v>194</v>
      </c>
    </row>
    <row r="104" spans="1:10" x14ac:dyDescent="0.15">
      <c r="A104" s="4">
        <v>103.0</v>
      </c>
      <c r="B104" s="4" t="s">
        <v>10</v>
      </c>
      <c r="C104" s="4">
        <v>43.0</v>
      </c>
      <c r="D104" s="4" t="s">
        <v>18</v>
      </c>
      <c r="E104" s="4">
        <v>76.6</v>
      </c>
      <c r="F104" s="4">
        <v>48.0</v>
      </c>
      <c r="G104" s="4" t="s">
        <v>17</v>
      </c>
      <c r="H104" s="4">
        <v>285.67</v>
      </c>
      <c r="I104" s="4">
        <f>E104*F104</f>
        <v>3676.7999999999997</v>
      </c>
      <c r="J104" s="4">
        <f>RANK(I104,$I$2:$I$201)+COUNTIF($I$2:I104,I104)-1</f>
        <v>69</v>
      </c>
    </row>
    <row r="105" spans="1:10" x14ac:dyDescent="0.15">
      <c r="A105" s="4">
        <v>104.0</v>
      </c>
      <c r="B105" s="4" t="s">
        <v>16</v>
      </c>
      <c r="C105" s="4">
        <v>40.0</v>
      </c>
      <c r="D105" s="4" t="s">
        <v>13</v>
      </c>
      <c r="E105" s="4">
        <v>57.8</v>
      </c>
      <c r="F105" s="4">
        <v>90.0</v>
      </c>
      <c r="G105" s="4" t="s">
        <v>17</v>
      </c>
      <c r="H105" s="4">
        <v>150.04</v>
      </c>
      <c r="I105" s="4">
        <f>E105*F105</f>
        <v>5202</v>
      </c>
      <c r="J105" s="4">
        <f>RANK(I105,$I$2:$I$201)+COUNTIF($I$2:I105,I105)-1</f>
        <v>36</v>
      </c>
    </row>
    <row r="106" spans="1:10" x14ac:dyDescent="0.15">
      <c r="A106" s="4">
        <v>105.0</v>
      </c>
      <c r="B106" s="4" t="s">
        <v>10</v>
      </c>
      <c r="C106" s="4">
        <v>34.0</v>
      </c>
      <c r="D106" s="4" t="s">
        <v>11</v>
      </c>
      <c r="E106" s="4">
        <v>62.7</v>
      </c>
      <c r="F106" s="4">
        <v>41.0</v>
      </c>
      <c r="G106" s="4" t="s">
        <v>14</v>
      </c>
      <c r="H106" s="4">
        <v>376.58</v>
      </c>
      <c r="I106" s="4">
        <f>E106*F106</f>
        <v>2570.7000000000003</v>
      </c>
      <c r="J106" s="4">
        <f>RANK(I106,$I$2:$I$201)+COUNTIF($I$2:I106,I106)-1</f>
        <v>102</v>
      </c>
    </row>
    <row r="107" spans="1:10" x14ac:dyDescent="0.15">
      <c r="A107" s="4">
        <v>106.0</v>
      </c>
      <c r="B107" s="4" t="s">
        <v>10</v>
      </c>
      <c r="C107" s="4">
        <v>66.0</v>
      </c>
      <c r="D107" s="4" t="s">
        <v>21</v>
      </c>
      <c r="E107" s="4">
        <v>71.3</v>
      </c>
      <c r="F107" s="4">
        <v>62.0</v>
      </c>
      <c r="G107" s="4" t="s">
        <v>19</v>
      </c>
      <c r="H107" s="4">
        <v>367.8</v>
      </c>
      <c r="I107" s="4">
        <f>E107*F107</f>
        <v>4420.599999999999</v>
      </c>
      <c r="J107" s="4">
        <f>RANK(I107,$I$2:$I$201)+COUNTIF($I$2:I107,I107)-1</f>
        <v>52</v>
      </c>
    </row>
    <row r="108" spans="1:10" x14ac:dyDescent="0.15">
      <c r="A108" s="4">
        <v>107.0</v>
      </c>
      <c r="B108" s="4" t="s">
        <v>16</v>
      </c>
      <c r="C108" s="4">
        <v>66.0</v>
      </c>
      <c r="D108" s="4" t="s">
        <v>11</v>
      </c>
      <c r="E108" s="4">
        <v>95.9</v>
      </c>
      <c r="F108" s="4">
        <v>38.0</v>
      </c>
      <c r="G108" s="4" t="s">
        <v>12</v>
      </c>
      <c r="H108" s="4">
        <v>193.22</v>
      </c>
      <c r="I108" s="4">
        <f>E108*F108</f>
        <v>3644.2000000000003</v>
      </c>
      <c r="J108" s="4">
        <f>RANK(I108,$I$2:$I$201)+COUNTIF($I$2:I108,I108)-1</f>
        <v>72</v>
      </c>
    </row>
    <row r="109" spans="1:10" x14ac:dyDescent="0.15">
      <c r="A109" s="4">
        <v>108.0</v>
      </c>
      <c r="B109" s="4" t="s">
        <v>10</v>
      </c>
      <c r="C109" s="4">
        <v>37.0</v>
      </c>
      <c r="D109" s="4" t="s">
        <v>13</v>
      </c>
      <c r="E109" s="4">
        <v>44.3</v>
      </c>
      <c r="F109" s="4">
        <v>6.0</v>
      </c>
      <c r="G109" s="4" t="s">
        <v>14</v>
      </c>
      <c r="H109" s="4">
        <v>285.61</v>
      </c>
      <c r="I109" s="4">
        <f>E109*F109</f>
        <v>265.79999999999995</v>
      </c>
      <c r="J109" s="4">
        <f>RANK(I109,$I$2:$I$201)+COUNTIF($I$2:I109,I109)-1</f>
        <v>189</v>
      </c>
    </row>
    <row r="110" spans="1:10" x14ac:dyDescent="0.15">
      <c r="A110" s="4">
        <v>109.0</v>
      </c>
      <c r="B110" s="4" t="s">
        <v>10</v>
      </c>
      <c r="C110" s="4">
        <v>62.0</v>
      </c>
      <c r="D110" s="4" t="s">
        <v>20</v>
      </c>
      <c r="E110" s="4">
        <v>66.7</v>
      </c>
      <c r="F110" s="4">
        <v>2.0</v>
      </c>
      <c r="G110" s="4" t="s">
        <v>15</v>
      </c>
      <c r="H110" s="4">
        <v>156.48</v>
      </c>
      <c r="I110" s="4">
        <f>E110*F110</f>
        <v>133.4</v>
      </c>
      <c r="J110" s="4">
        <f>RANK(I110,$I$2:$I$201)+COUNTIF($I$2:I110,I110)-1</f>
        <v>196</v>
      </c>
    </row>
    <row r="111" spans="1:10" x14ac:dyDescent="0.15">
      <c r="A111" s="4">
        <v>110.0</v>
      </c>
      <c r="B111" s="4" t="s">
        <v>16</v>
      </c>
      <c r="C111" s="4">
        <v>48.0</v>
      </c>
      <c r="D111" s="4" t="s">
        <v>18</v>
      </c>
      <c r="E111" s="4">
        <v>66.4</v>
      </c>
      <c r="F111" s="4">
        <v>7.0</v>
      </c>
      <c r="G111" s="4" t="s">
        <v>19</v>
      </c>
      <c r="H111" s="4">
        <v>471.71</v>
      </c>
      <c r="I111" s="4">
        <f>E111*F111</f>
        <v>464.80000000000007</v>
      </c>
      <c r="J111" s="4">
        <f>RANK(I111,$I$2:$I$201)+COUNTIF($I$2:I111,I111)-1</f>
        <v>183</v>
      </c>
    </row>
    <row r="112" spans="1:10" x14ac:dyDescent="0.15">
      <c r="A112" s="4">
        <v>111.0</v>
      </c>
      <c r="B112" s="4" t="s">
        <v>10</v>
      </c>
      <c r="C112" s="4">
        <v>48.0</v>
      </c>
      <c r="D112" s="4" t="s">
        <v>11</v>
      </c>
      <c r="E112" s="4">
        <v>75.0</v>
      </c>
      <c r="F112" s="4">
        <v>10.0</v>
      </c>
      <c r="G112" s="4" t="s">
        <v>15</v>
      </c>
      <c r="H112" s="4">
        <v>322.13</v>
      </c>
      <c r="I112" s="4">
        <f>E112*F112</f>
        <v>750</v>
      </c>
      <c r="J112" s="4">
        <f>RANK(I112,$I$2:$I$201)+COUNTIF($I$2:I112,I112)-1</f>
        <v>163</v>
      </c>
    </row>
    <row r="113" spans="1:10" x14ac:dyDescent="0.15">
      <c r="A113" s="4">
        <v>112.0</v>
      </c>
      <c r="B113" s="4" t="s">
        <v>10</v>
      </c>
      <c r="C113" s="4">
        <v>21.0</v>
      </c>
      <c r="D113" s="4" t="s">
        <v>21</v>
      </c>
      <c r="E113" s="4">
        <v>42.8</v>
      </c>
      <c r="F113" s="4">
        <v>39.0</v>
      </c>
      <c r="G113" s="4" t="s">
        <v>14</v>
      </c>
      <c r="H113" s="4">
        <v>497.08</v>
      </c>
      <c r="I113" s="4">
        <f>E113*F113</f>
        <v>1669.1999999999998</v>
      </c>
      <c r="J113" s="4">
        <f>RANK(I113,$I$2:$I$201)+COUNTIF($I$2:I113,I113)-1</f>
        <v>128</v>
      </c>
    </row>
    <row r="114" spans="1:10" x14ac:dyDescent="0.15">
      <c r="A114" s="4">
        <v>113.0</v>
      </c>
      <c r="B114" s="4" t="s">
        <v>16</v>
      </c>
      <c r="C114" s="4">
        <v>25.0</v>
      </c>
      <c r="D114" s="4" t="s">
        <v>13</v>
      </c>
      <c r="E114" s="4">
        <v>41.4</v>
      </c>
      <c r="F114" s="4">
        <v>80.0</v>
      </c>
      <c r="G114" s="4" t="s">
        <v>12</v>
      </c>
      <c r="H114" s="4">
        <v>392.33</v>
      </c>
      <c r="I114" s="4">
        <f>E114*F114</f>
        <v>3312</v>
      </c>
      <c r="J114" s="4">
        <f>RANK(I114,$I$2:$I$201)+COUNTIF($I$2:I114,I114)-1</f>
        <v>80</v>
      </c>
    </row>
    <row r="115" spans="1:10" x14ac:dyDescent="0.15">
      <c r="A115" s="4">
        <v>114.0</v>
      </c>
      <c r="B115" s="4" t="s">
        <v>16</v>
      </c>
      <c r="C115" s="4">
        <v>42.0</v>
      </c>
      <c r="D115" s="4" t="s">
        <v>20</v>
      </c>
      <c r="E115" s="4">
        <v>60.1</v>
      </c>
      <c r="F115" s="4">
        <v>76.0</v>
      </c>
      <c r="G115" s="4" t="s">
        <v>17</v>
      </c>
      <c r="H115" s="4">
        <v>166.58</v>
      </c>
      <c r="I115" s="4">
        <f>E115*F115</f>
        <v>4567.6</v>
      </c>
      <c r="J115" s="4">
        <f>RANK(I115,$I$2:$I$201)+COUNTIF($I$2:I115,I115)-1</f>
        <v>49</v>
      </c>
    </row>
    <row r="116" spans="1:10" x14ac:dyDescent="0.15">
      <c r="A116" s="4">
        <v>115.0</v>
      </c>
      <c r="B116" s="4" t="s">
        <v>10</v>
      </c>
      <c r="C116" s="4">
        <v>57.0</v>
      </c>
      <c r="D116" s="4" t="s">
        <v>13</v>
      </c>
      <c r="E116" s="4">
        <v>101.0</v>
      </c>
      <c r="F116" s="4">
        <v>13.0</v>
      </c>
      <c r="G116" s="4" t="s">
        <v>12</v>
      </c>
      <c r="H116" s="4">
        <v>320.25</v>
      </c>
      <c r="I116" s="4">
        <f>E116*F116</f>
        <v>1313</v>
      </c>
      <c r="J116" s="4">
        <f>RANK(I116,$I$2:$I$201)+COUNTIF($I$2:I116,I116)-1</f>
        <v>143</v>
      </c>
    </row>
    <row r="117" spans="1:10" x14ac:dyDescent="0.15">
      <c r="A117" s="4">
        <v>116.0</v>
      </c>
      <c r="B117" s="4" t="s">
        <v>10</v>
      </c>
      <c r="C117" s="4">
        <v>34.0</v>
      </c>
      <c r="D117" s="4" t="s">
        <v>21</v>
      </c>
      <c r="E117" s="4">
        <v>43.4</v>
      </c>
      <c r="F117" s="4">
        <v>71.0</v>
      </c>
      <c r="G117" s="4" t="s">
        <v>14</v>
      </c>
      <c r="H117" s="4">
        <v>95.14</v>
      </c>
      <c r="I117" s="4">
        <f>E117*F117</f>
        <v>3081.4</v>
      </c>
      <c r="J117" s="4">
        <f>RANK(I117,$I$2:$I$201)+COUNTIF($I$2:I117,I117)-1</f>
        <v>85</v>
      </c>
    </row>
    <row r="118" spans="1:10" x14ac:dyDescent="0.15">
      <c r="A118" s="4">
        <v>117.0</v>
      </c>
      <c r="B118" s="4" t="s">
        <v>16</v>
      </c>
      <c r="C118" s="4">
        <v>44.0</v>
      </c>
      <c r="D118" s="4" t="s">
        <v>13</v>
      </c>
      <c r="E118" s="4">
        <v>70.6</v>
      </c>
      <c r="F118" s="4">
        <v>5.0</v>
      </c>
      <c r="G118" s="4" t="s">
        <v>12</v>
      </c>
      <c r="H118" s="4">
        <v>158.29</v>
      </c>
      <c r="I118" s="4">
        <f>E118*F118</f>
        <v>353</v>
      </c>
      <c r="J118" s="4">
        <f>RANK(I118,$I$2:$I$201)+COUNTIF($I$2:I118,I118)-1</f>
        <v>186</v>
      </c>
    </row>
    <row r="119" spans="1:10" x14ac:dyDescent="0.15">
      <c r="A119" s="4">
        <v>118.0</v>
      </c>
      <c r="B119" s="4" t="s">
        <v>16</v>
      </c>
      <c r="C119" s="4">
        <v>36.0</v>
      </c>
      <c r="D119" s="4" t="s">
        <v>11</v>
      </c>
      <c r="E119" s="4">
        <v>64.9</v>
      </c>
      <c r="F119" s="4">
        <v>34.0</v>
      </c>
      <c r="G119" s="4" t="s">
        <v>15</v>
      </c>
      <c r="H119" s="4">
        <v>337.37</v>
      </c>
      <c r="I119" s="4">
        <f>E119*F119</f>
        <v>2206.6000000000004</v>
      </c>
      <c r="J119" s="4">
        <f>RANK(I119,$I$2:$I$201)+COUNTIF($I$2:I119,I119)-1</f>
        <v>111</v>
      </c>
    </row>
    <row r="120" spans="1:10" x14ac:dyDescent="0.15">
      <c r="A120" s="4">
        <v>119.0</v>
      </c>
      <c r="B120" s="4" t="s">
        <v>16</v>
      </c>
      <c r="C120" s="4">
        <v>30.0</v>
      </c>
      <c r="D120" s="4" t="s">
        <v>11</v>
      </c>
      <c r="E120" s="4">
        <v>48.4</v>
      </c>
      <c r="F120" s="4">
        <v>83.0</v>
      </c>
      <c r="G120" s="4" t="s">
        <v>12</v>
      </c>
      <c r="H120" s="4">
        <v>456.04</v>
      </c>
      <c r="I120" s="4">
        <f>E120*F120</f>
        <v>4017.2</v>
      </c>
      <c r="J120" s="4">
        <f>RANK(I120,$I$2:$I$201)+COUNTIF($I$2:I120,I120)-1</f>
        <v>59</v>
      </c>
    </row>
    <row r="121" spans="1:10" x14ac:dyDescent="0.15">
      <c r="A121" s="4">
        <v>120.0</v>
      </c>
      <c r="B121" s="4" t="s">
        <v>10</v>
      </c>
      <c r="C121" s="4">
        <v>70.0</v>
      </c>
      <c r="D121" s="4" t="s">
        <v>11</v>
      </c>
      <c r="E121" s="4">
        <v>65.0</v>
      </c>
      <c r="F121" s="4">
        <v>40.0</v>
      </c>
      <c r="G121" s="4" t="s">
        <v>15</v>
      </c>
      <c r="H121" s="4">
        <v>379.5</v>
      </c>
      <c r="I121" s="4">
        <f>E121*F121</f>
        <v>2600</v>
      </c>
      <c r="J121" s="4">
        <f>RANK(I121,$I$2:$I$201)+COUNTIF($I$2:I121,I121)-1</f>
        <v>100</v>
      </c>
    </row>
    <row r="122" spans="1:10" x14ac:dyDescent="0.15">
      <c r="A122" s="4">
        <v>121.0</v>
      </c>
      <c r="B122" s="4" t="s">
        <v>16</v>
      </c>
      <c r="C122" s="4">
        <v>54.0</v>
      </c>
      <c r="D122" s="4" t="s">
        <v>20</v>
      </c>
      <c r="E122" s="4">
        <v>67.6</v>
      </c>
      <c r="F122" s="4">
        <v>89.0</v>
      </c>
      <c r="G122" s="4" t="s">
        <v>19</v>
      </c>
      <c r="H122" s="4">
        <v>355.87</v>
      </c>
      <c r="I122" s="4">
        <f>E122*F122</f>
        <v>6016.4</v>
      </c>
      <c r="J122" s="4">
        <f>RANK(I122,$I$2:$I$201)+COUNTIF($I$2:I122,I122)-1</f>
        <v>21</v>
      </c>
    </row>
    <row r="123" spans="1:10" x14ac:dyDescent="0.15">
      <c r="A123" s="4">
        <v>122.0</v>
      </c>
      <c r="B123" s="4" t="s">
        <v>16</v>
      </c>
      <c r="C123" s="4">
        <v>35.0</v>
      </c>
      <c r="D123" s="4" t="s">
        <v>20</v>
      </c>
      <c r="E123" s="4">
        <v>38.8</v>
      </c>
      <c r="F123" s="4">
        <v>6.0</v>
      </c>
      <c r="G123" s="4" t="s">
        <v>17</v>
      </c>
      <c r="H123" s="4">
        <v>372.58</v>
      </c>
      <c r="I123" s="4">
        <f>E123*F123</f>
        <v>232.79999999999998</v>
      </c>
      <c r="J123" s="4">
        <f>RANK(I123,$I$2:$I$201)+COUNTIF($I$2:I123,I123)-1</f>
        <v>190</v>
      </c>
    </row>
    <row r="124" spans="1:10" x14ac:dyDescent="0.15">
      <c r="A124" s="4">
        <v>123.0</v>
      </c>
      <c r="B124" s="4" t="s">
        <v>16</v>
      </c>
      <c r="C124" s="4">
        <v>56.0</v>
      </c>
      <c r="D124" s="4" t="s">
        <v>11</v>
      </c>
      <c r="E124" s="4">
        <v>66.3</v>
      </c>
      <c r="F124" s="4">
        <v>87.0</v>
      </c>
      <c r="G124" s="4" t="s">
        <v>15</v>
      </c>
      <c r="H124" s="4">
        <v>301.82</v>
      </c>
      <c r="I124" s="4">
        <f>E124*F124</f>
        <v>5768.099999999999</v>
      </c>
      <c r="J124" s="4">
        <f>RANK(I124,$I$2:$I$201)+COUNTIF($I$2:I124,I124)-1</f>
        <v>27</v>
      </c>
    </row>
    <row r="125" spans="1:10" x14ac:dyDescent="0.15">
      <c r="A125" s="4">
        <v>124.0</v>
      </c>
      <c r="B125" s="4" t="s">
        <v>16</v>
      </c>
      <c r="C125" s="4">
        <v>19.0</v>
      </c>
      <c r="D125" s="4" t="s">
        <v>13</v>
      </c>
      <c r="E125" s="4">
        <v>15.0</v>
      </c>
      <c r="F125" s="4">
        <v>97.0</v>
      </c>
      <c r="G125" s="4" t="s">
        <v>12</v>
      </c>
      <c r="H125" s="4">
        <v>245.84</v>
      </c>
      <c r="I125" s="4">
        <f>E125*F125</f>
        <v>1455</v>
      </c>
      <c r="J125" s="4">
        <f>RANK(I125,$I$2:$I$201)+COUNTIF($I$2:I125,I125)-1</f>
        <v>135</v>
      </c>
    </row>
    <row r="126" spans="1:10" x14ac:dyDescent="0.15">
      <c r="A126" s="4">
        <v>125.0</v>
      </c>
      <c r="B126" s="4" t="s">
        <v>16</v>
      </c>
      <c r="C126" s="4">
        <v>59.0</v>
      </c>
      <c r="D126" s="4" t="s">
        <v>18</v>
      </c>
      <c r="E126" s="4">
        <v>69.9</v>
      </c>
      <c r="F126" s="4">
        <v>75.0</v>
      </c>
      <c r="G126" s="4" t="s">
        <v>17</v>
      </c>
      <c r="H126" s="4">
        <v>324.7</v>
      </c>
      <c r="I126" s="4">
        <f>E126*F126</f>
        <v>5242.5</v>
      </c>
      <c r="J126" s="4">
        <f>RANK(I126,$I$2:$I$201)+COUNTIF($I$2:I126,I126)-1</f>
        <v>34</v>
      </c>
    </row>
    <row r="127" spans="1:10" x14ac:dyDescent="0.15">
      <c r="A127" s="4">
        <v>126.0</v>
      </c>
      <c r="B127" s="4" t="s">
        <v>10</v>
      </c>
      <c r="C127" s="4">
        <v>49.0</v>
      </c>
      <c r="D127" s="4" t="s">
        <v>20</v>
      </c>
      <c r="E127" s="4">
        <v>74.7</v>
      </c>
      <c r="F127" s="4">
        <v>43.0</v>
      </c>
      <c r="G127" s="4" t="s">
        <v>19</v>
      </c>
      <c r="H127" s="4">
        <v>341.66</v>
      </c>
      <c r="I127" s="4">
        <f>E127*F127</f>
        <v>3212.1</v>
      </c>
      <c r="J127" s="4">
        <f>RANK(I127,$I$2:$I$201)+COUNTIF($I$2:I127,I127)-1</f>
        <v>83</v>
      </c>
    </row>
    <row r="128" spans="1:10" x14ac:dyDescent="0.15">
      <c r="A128" s="4">
        <v>127.0</v>
      </c>
      <c r="B128" s="4" t="s">
        <v>16</v>
      </c>
      <c r="C128" s="4">
        <v>28.0</v>
      </c>
      <c r="D128" s="4" t="s">
        <v>20</v>
      </c>
      <c r="E128" s="4">
        <v>50.7</v>
      </c>
      <c r="F128" s="4">
        <v>37.0</v>
      </c>
      <c r="G128" s="4" t="s">
        <v>17</v>
      </c>
      <c r="H128" s="4">
        <v>410.51</v>
      </c>
      <c r="I128" s="4">
        <f>E128*F128</f>
        <v>1875.9</v>
      </c>
      <c r="J128" s="4">
        <f>RANK(I128,$I$2:$I$201)+COUNTIF($I$2:I128,I128)-1</f>
        <v>120</v>
      </c>
    </row>
    <row r="129" spans="1:10" x14ac:dyDescent="0.15">
      <c r="A129" s="4">
        <v>128.0</v>
      </c>
      <c r="B129" s="4" t="s">
        <v>10</v>
      </c>
      <c r="C129" s="4">
        <v>53.0</v>
      </c>
      <c r="D129" s="4" t="s">
        <v>20</v>
      </c>
      <c r="E129" s="4">
        <v>66.1</v>
      </c>
      <c r="F129" s="4">
        <v>33.0</v>
      </c>
      <c r="G129" s="4" t="s">
        <v>19</v>
      </c>
      <c r="H129" s="4">
        <v>75.64</v>
      </c>
      <c r="I129" s="4">
        <f>E129*F129</f>
        <v>2181.2999999999997</v>
      </c>
      <c r="J129" s="4">
        <f>RANK(I129,$I$2:$I$201)+COUNTIF($I$2:I129,I129)-1</f>
        <v>112</v>
      </c>
    </row>
    <row r="130" spans="1:10" x14ac:dyDescent="0.15">
      <c r="A130" s="4">
        <v>129.0</v>
      </c>
      <c r="B130" s="4" t="s">
        <v>16</v>
      </c>
      <c r="C130" s="4">
        <v>67.0</v>
      </c>
      <c r="D130" s="4" t="s">
        <v>13</v>
      </c>
      <c r="E130" s="4">
        <v>95.6</v>
      </c>
      <c r="F130" s="4">
        <v>1.0</v>
      </c>
      <c r="G130" s="4" t="s">
        <v>15</v>
      </c>
      <c r="H130" s="4">
        <v>241.75</v>
      </c>
      <c r="I130" s="4">
        <f>E130*F130</f>
        <v>95.6</v>
      </c>
      <c r="J130" s="4">
        <f>RANK(I130,$I$2:$I$201)+COUNTIF($I$2:I130,I130)-1</f>
        <v>198</v>
      </c>
    </row>
    <row r="131" spans="1:10" x14ac:dyDescent="0.15">
      <c r="A131" s="4">
        <v>130.0</v>
      </c>
      <c r="B131" s="4" t="s">
        <v>10</v>
      </c>
      <c r="C131" s="4">
        <v>21.0</v>
      </c>
      <c r="D131" s="4" t="s">
        <v>13</v>
      </c>
      <c r="E131" s="4">
        <v>24.9</v>
      </c>
      <c r="F131" s="4">
        <v>97.0</v>
      </c>
      <c r="G131" s="4" t="s">
        <v>17</v>
      </c>
      <c r="H131" s="4">
        <v>320.2</v>
      </c>
      <c r="I131" s="4">
        <f>E131*F131</f>
        <v>2415.2999999999997</v>
      </c>
      <c r="J131" s="4">
        <f>RANK(I131,$I$2:$I$201)+COUNTIF($I$2:I131,I131)-1</f>
        <v>106</v>
      </c>
    </row>
    <row r="132" spans="1:10" x14ac:dyDescent="0.15">
      <c r="A132" s="4">
        <v>131.0</v>
      </c>
      <c r="B132" s="4" t="s">
        <v>10</v>
      </c>
      <c r="C132" s="4">
        <v>66.0</v>
      </c>
      <c r="D132" s="4" t="s">
        <v>21</v>
      </c>
      <c r="E132" s="4">
        <v>73.3</v>
      </c>
      <c r="F132" s="4">
        <v>17.0</v>
      </c>
      <c r="G132" s="4" t="s">
        <v>19</v>
      </c>
      <c r="H132" s="4">
        <v>230.3</v>
      </c>
      <c r="I132" s="4">
        <f>E132*F132</f>
        <v>1246.1</v>
      </c>
      <c r="J132" s="4">
        <f>RANK(I132,$I$2:$I$201)+COUNTIF($I$2:I132,I132)-1</f>
        <v>147</v>
      </c>
    </row>
    <row r="133" spans="1:10" x14ac:dyDescent="0.15">
      <c r="A133" s="4">
        <v>132.0</v>
      </c>
      <c r="B133" s="4" t="s">
        <v>16</v>
      </c>
      <c r="C133" s="4">
        <v>62.0</v>
      </c>
      <c r="D133" s="4" t="s">
        <v>11</v>
      </c>
      <c r="E133" s="4">
        <v>63.8</v>
      </c>
      <c r="F133" s="4">
        <v>81.0</v>
      </c>
      <c r="G133" s="4" t="s">
        <v>15</v>
      </c>
      <c r="H133" s="4">
        <v>403.67</v>
      </c>
      <c r="I133" s="4">
        <f>E133*F133</f>
        <v>5167.8</v>
      </c>
      <c r="J133" s="4">
        <f>RANK(I133,$I$2:$I$201)+COUNTIF($I$2:I133,I133)-1</f>
        <v>37</v>
      </c>
    </row>
    <row r="134" spans="1:10" x14ac:dyDescent="0.15">
      <c r="A134" s="4">
        <v>133.0</v>
      </c>
      <c r="B134" s="4" t="s">
        <v>10</v>
      </c>
      <c r="C134" s="4">
        <v>63.0</v>
      </c>
      <c r="D134" s="4" t="s">
        <v>18</v>
      </c>
      <c r="E134" s="4">
        <v>84.6</v>
      </c>
      <c r="F134" s="4">
        <v>71.0</v>
      </c>
      <c r="G134" s="4" t="s">
        <v>17</v>
      </c>
      <c r="H134" s="4">
        <v>64.74</v>
      </c>
      <c r="I134" s="4">
        <f>E134*F134</f>
        <v>6006.599999999999</v>
      </c>
      <c r="J134" s="4">
        <f>RANK(I134,$I$2:$I$201)+COUNTIF($I$2:I134,I134)-1</f>
        <v>22</v>
      </c>
    </row>
    <row r="135" spans="1:10" x14ac:dyDescent="0.15">
      <c r="A135" s="4">
        <v>134.0</v>
      </c>
      <c r="B135" s="4" t="s">
        <v>16</v>
      </c>
      <c r="C135" s="4">
        <v>25.0</v>
      </c>
      <c r="D135" s="4" t="s">
        <v>11</v>
      </c>
      <c r="E135" s="4">
        <v>43.5</v>
      </c>
      <c r="F135" s="4">
        <v>20.0</v>
      </c>
      <c r="G135" s="4" t="s">
        <v>17</v>
      </c>
      <c r="H135" s="4">
        <v>467.67</v>
      </c>
      <c r="I135" s="4">
        <f>E135*F135</f>
        <v>870</v>
      </c>
      <c r="J135" s="4">
        <f>RANK(I135,$I$2:$I$201)+COUNTIF($I$2:I135,I135)-1</f>
        <v>159</v>
      </c>
    </row>
    <row r="136" spans="1:10" x14ac:dyDescent="0.15">
      <c r="A136" s="4">
        <v>135.0</v>
      </c>
      <c r="B136" s="4" t="s">
        <v>16</v>
      </c>
      <c r="C136" s="4">
        <v>36.0</v>
      </c>
      <c r="D136" s="4" t="s">
        <v>20</v>
      </c>
      <c r="E136" s="4">
        <v>70.8</v>
      </c>
      <c r="F136" s="4">
        <v>61.0</v>
      </c>
      <c r="G136" s="4" t="s">
        <v>12</v>
      </c>
      <c r="H136" s="4">
        <v>239.26</v>
      </c>
      <c r="I136" s="4">
        <f>E136*F136</f>
        <v>4318.8</v>
      </c>
      <c r="J136" s="4">
        <f>RANK(I136,$I$2:$I$201)+COUNTIF($I$2:I136,I136)-1</f>
        <v>55</v>
      </c>
    </row>
    <row r="137" spans="1:10" x14ac:dyDescent="0.15">
      <c r="A137" s="4">
        <v>136.0</v>
      </c>
      <c r="B137" s="4" t="s">
        <v>16</v>
      </c>
      <c r="C137" s="4">
        <v>27.0</v>
      </c>
      <c r="D137" s="4" t="s">
        <v>21</v>
      </c>
      <c r="E137" s="4">
        <v>58.1</v>
      </c>
      <c r="F137" s="4">
        <v>66.0</v>
      </c>
      <c r="G137" s="4" t="s">
        <v>12</v>
      </c>
      <c r="H137" s="4">
        <v>434.73</v>
      </c>
      <c r="I137" s="4">
        <f>E137*F137</f>
        <v>3834.6</v>
      </c>
      <c r="J137" s="4">
        <f>RANK(I137,$I$2:$I$201)+COUNTIF($I$2:I137,I137)-1</f>
        <v>65</v>
      </c>
    </row>
    <row r="138" spans="1:10" x14ac:dyDescent="0.15">
      <c r="A138" s="4">
        <v>137.0</v>
      </c>
      <c r="B138" s="4" t="s">
        <v>16</v>
      </c>
      <c r="C138" s="4">
        <v>35.0</v>
      </c>
      <c r="D138" s="4" t="s">
        <v>18</v>
      </c>
      <c r="E138" s="4">
        <v>73.0</v>
      </c>
      <c r="F138" s="4">
        <v>65.0</v>
      </c>
      <c r="G138" s="4" t="s">
        <v>19</v>
      </c>
      <c r="H138" s="4">
        <v>413.86</v>
      </c>
      <c r="I138" s="4">
        <f>E138*F138</f>
        <v>4745</v>
      </c>
      <c r="J138" s="4">
        <f>RANK(I138,$I$2:$I$201)+COUNTIF($I$2:I138,I138)-1</f>
        <v>45</v>
      </c>
    </row>
    <row r="139" spans="1:10" x14ac:dyDescent="0.15">
      <c r="A139" s="4">
        <v>138.0</v>
      </c>
      <c r="B139" s="4" t="s">
        <v>16</v>
      </c>
      <c r="C139" s="4">
        <v>36.0</v>
      </c>
      <c r="D139" s="4" t="s">
        <v>13</v>
      </c>
      <c r="E139" s="4">
        <v>60.6</v>
      </c>
      <c r="F139" s="4">
        <v>85.0</v>
      </c>
      <c r="G139" s="4" t="s">
        <v>17</v>
      </c>
      <c r="H139" s="4">
        <v>435.33</v>
      </c>
      <c r="I139" s="4">
        <f>E139*F139</f>
        <v>5151</v>
      </c>
      <c r="J139" s="4">
        <f>RANK(I139,$I$2:$I$201)+COUNTIF($I$2:I139,I139)-1</f>
        <v>38</v>
      </c>
    </row>
    <row r="140" spans="1:10" x14ac:dyDescent="0.15">
      <c r="A140" s="4">
        <v>139.0</v>
      </c>
      <c r="B140" s="4" t="s">
        <v>16</v>
      </c>
      <c r="C140" s="4">
        <v>46.0</v>
      </c>
      <c r="D140" s="4" t="s">
        <v>18</v>
      </c>
      <c r="E140" s="4">
        <v>68.7</v>
      </c>
      <c r="F140" s="4">
        <v>98.0</v>
      </c>
      <c r="G140" s="4" t="s">
        <v>15</v>
      </c>
      <c r="H140" s="4">
        <v>201.06</v>
      </c>
      <c r="I140" s="4">
        <f>E140*F140</f>
        <v>6732.6</v>
      </c>
      <c r="J140" s="4">
        <f>RANK(I140,$I$2:$I$201)+COUNTIF($I$2:I140,I140)-1</f>
        <v>11</v>
      </c>
    </row>
    <row r="141" spans="1:10" x14ac:dyDescent="0.15">
      <c r="A141" s="4">
        <v>140.0</v>
      </c>
      <c r="B141" s="4" t="s">
        <v>10</v>
      </c>
      <c r="C141" s="4">
        <v>38.0</v>
      </c>
      <c r="D141" s="4" t="s">
        <v>21</v>
      </c>
      <c r="E141" s="4">
        <v>63.9</v>
      </c>
      <c r="F141" s="4">
        <v>30.0</v>
      </c>
      <c r="G141" s="4" t="s">
        <v>17</v>
      </c>
      <c r="H141" s="4">
        <v>40.95</v>
      </c>
      <c r="I141" s="4">
        <f>E141*F141</f>
        <v>1917</v>
      </c>
      <c r="J141" s="4">
        <f>RANK(I141,$I$2:$I$201)+COUNTIF($I$2:I141,I141)-1</f>
        <v>118</v>
      </c>
    </row>
    <row r="142" spans="1:10" x14ac:dyDescent="0.15">
      <c r="A142" s="4">
        <v>141.0</v>
      </c>
      <c r="B142" s="4" t="s">
        <v>16</v>
      </c>
      <c r="C142" s="4">
        <v>65.0</v>
      </c>
      <c r="D142" s="4" t="s">
        <v>20</v>
      </c>
      <c r="E142" s="4">
        <v>78.0</v>
      </c>
      <c r="F142" s="4">
        <v>85.0</v>
      </c>
      <c r="G142" s="4" t="s">
        <v>12</v>
      </c>
      <c r="H142" s="4">
        <v>257.76</v>
      </c>
      <c r="I142" s="4">
        <f>E142*F142</f>
        <v>6630</v>
      </c>
      <c r="J142" s="4">
        <f>RANK(I142,$I$2:$I$201)+COUNTIF($I$2:I142,I142)-1</f>
        <v>12</v>
      </c>
    </row>
    <row r="143" spans="1:10" x14ac:dyDescent="0.15">
      <c r="A143" s="4">
        <v>142.0</v>
      </c>
      <c r="B143" s="4" t="s">
        <v>10</v>
      </c>
      <c r="C143" s="4">
        <v>20.0</v>
      </c>
      <c r="D143" s="4" t="s">
        <v>13</v>
      </c>
      <c r="E143" s="4">
        <v>47.2</v>
      </c>
      <c r="F143" s="4">
        <v>43.0</v>
      </c>
      <c r="G143" s="4" t="s">
        <v>14</v>
      </c>
      <c r="H143" s="4">
        <v>439.61</v>
      </c>
      <c r="I143" s="4">
        <f>E143*F143</f>
        <v>2029.6000000000001</v>
      </c>
      <c r="J143" s="4">
        <f>RANK(I143,$I$2:$I$201)+COUNTIF($I$2:I143,I143)-1</f>
        <v>115</v>
      </c>
    </row>
    <row r="144" spans="1:10" x14ac:dyDescent="0.15">
      <c r="A144" s="4">
        <v>143.0</v>
      </c>
      <c r="B144" s="4" t="s">
        <v>10</v>
      </c>
      <c r="C144" s="4">
        <v>46.0</v>
      </c>
      <c r="D144" s="4" t="s">
        <v>13</v>
      </c>
      <c r="E144" s="4">
        <v>91.8</v>
      </c>
      <c r="F144" s="4">
        <v>2.0</v>
      </c>
      <c r="G144" s="4" t="s">
        <v>12</v>
      </c>
      <c r="H144" s="4">
        <v>216.79</v>
      </c>
      <c r="I144" s="4">
        <f>E144*F144</f>
        <v>183.6</v>
      </c>
      <c r="J144" s="4">
        <f>RANK(I144,$I$2:$I$201)+COUNTIF($I$2:I144,I144)-1</f>
        <v>193</v>
      </c>
    </row>
    <row r="145" spans="1:10" x14ac:dyDescent="0.15">
      <c r="A145" s="4">
        <v>144.0</v>
      </c>
      <c r="B145" s="4" t="s">
        <v>10</v>
      </c>
      <c r="C145" s="4">
        <v>59.0</v>
      </c>
      <c r="D145" s="4" t="s">
        <v>11</v>
      </c>
      <c r="E145" s="4">
        <v>81.4</v>
      </c>
      <c r="F145" s="4">
        <v>34.0</v>
      </c>
      <c r="G145" s="4" t="s">
        <v>19</v>
      </c>
      <c r="H145" s="4">
        <v>319.16</v>
      </c>
      <c r="I145" s="4">
        <f>E145*F145</f>
        <v>2767.6000000000004</v>
      </c>
      <c r="J145" s="4">
        <f>RANK(I145,$I$2:$I$201)+COUNTIF($I$2:I145,I145)-1</f>
        <v>95</v>
      </c>
    </row>
    <row r="146" spans="1:10" x14ac:dyDescent="0.15">
      <c r="A146" s="4">
        <v>145.0</v>
      </c>
      <c r="B146" s="4" t="s">
        <v>10</v>
      </c>
      <c r="C146" s="4">
        <v>43.0</v>
      </c>
      <c r="D146" s="4" t="s">
        <v>18</v>
      </c>
      <c r="E146" s="4">
        <v>84.1</v>
      </c>
      <c r="F146" s="4">
        <v>69.0</v>
      </c>
      <c r="G146" s="4" t="s">
        <v>17</v>
      </c>
      <c r="H146" s="4">
        <v>477.99</v>
      </c>
      <c r="I146" s="4">
        <f>E146*F146</f>
        <v>5802.9</v>
      </c>
      <c r="J146" s="4">
        <f>RANK(I146,$I$2:$I$201)+COUNTIF($I$2:I146,I146)-1</f>
        <v>26</v>
      </c>
    </row>
    <row r="147" spans="1:10" x14ac:dyDescent="0.15">
      <c r="A147" s="4">
        <v>146.0</v>
      </c>
      <c r="B147" s="4" t="s">
        <v>16</v>
      </c>
      <c r="C147" s="4">
        <v>58.0</v>
      </c>
      <c r="D147" s="4" t="s">
        <v>13</v>
      </c>
      <c r="E147" s="4">
        <v>64.0</v>
      </c>
      <c r="F147" s="4">
        <v>9.0</v>
      </c>
      <c r="G147" s="4" t="s">
        <v>12</v>
      </c>
      <c r="H147" s="4">
        <v>322.96</v>
      </c>
      <c r="I147" s="4">
        <f>E147*F147</f>
        <v>576</v>
      </c>
      <c r="J147" s="4">
        <f>RANK(I147,$I$2:$I$201)+COUNTIF($I$2:I147,I147)-1</f>
        <v>174</v>
      </c>
    </row>
    <row r="148" spans="1:10" x14ac:dyDescent="0.15">
      <c r="A148" s="4">
        <v>147.0</v>
      </c>
      <c r="B148" s="4" t="s">
        <v>10</v>
      </c>
      <c r="C148" s="4">
        <v>36.0</v>
      </c>
      <c r="D148" s="4" t="s">
        <v>11</v>
      </c>
      <c r="E148" s="4">
        <v>54.8</v>
      </c>
      <c r="F148" s="4">
        <v>13.0</v>
      </c>
      <c r="G148" s="4" t="s">
        <v>14</v>
      </c>
      <c r="H148" s="4">
        <v>232.97</v>
      </c>
      <c r="I148" s="4">
        <f>E148*F148</f>
        <v>712.4</v>
      </c>
      <c r="J148" s="4">
        <f>RANK(I148,$I$2:$I$201)+COUNTIF($I$2:I148,I148)-1</f>
        <v>167</v>
      </c>
    </row>
    <row r="149" spans="1:10" x14ac:dyDescent="0.15">
      <c r="A149" s="4">
        <v>148.0</v>
      </c>
      <c r="B149" s="4" t="s">
        <v>16</v>
      </c>
      <c r="C149" s="4">
        <v>62.0</v>
      </c>
      <c r="D149" s="4" t="s">
        <v>11</v>
      </c>
      <c r="E149" s="4">
        <v>64.4</v>
      </c>
      <c r="F149" s="4">
        <v>8.0</v>
      </c>
      <c r="G149" s="4" t="s">
        <v>19</v>
      </c>
      <c r="H149" s="4">
        <v>192.06</v>
      </c>
      <c r="I149" s="4">
        <f>E149*F149</f>
        <v>515.2</v>
      </c>
      <c r="J149" s="4">
        <f>RANK(I149,$I$2:$I$201)+COUNTIF($I$2:I149,I149)-1</f>
        <v>180</v>
      </c>
    </row>
    <row r="150" spans="1:10" x14ac:dyDescent="0.15">
      <c r="A150" s="4">
        <v>149.0</v>
      </c>
      <c r="B150" s="4" t="s">
        <v>10</v>
      </c>
      <c r="C150" s="4">
        <v>45.0</v>
      </c>
      <c r="D150" s="4" t="s">
        <v>21</v>
      </c>
      <c r="E150" s="4">
        <v>74.8</v>
      </c>
      <c r="F150" s="4">
        <v>73.0</v>
      </c>
      <c r="G150" s="4" t="s">
        <v>12</v>
      </c>
      <c r="H150" s="4">
        <v>101.59</v>
      </c>
      <c r="I150" s="4">
        <f>E150*F150</f>
        <v>5460.4</v>
      </c>
      <c r="J150" s="4">
        <f>RANK(I150,$I$2:$I$201)+COUNTIF($I$2:I150,I150)-1</f>
        <v>32</v>
      </c>
    </row>
    <row r="151" spans="1:10" x14ac:dyDescent="0.15">
      <c r="A151" s="4">
        <v>150.0</v>
      </c>
      <c r="B151" s="4" t="s">
        <v>16</v>
      </c>
      <c r="C151" s="4">
        <v>23.0</v>
      </c>
      <c r="D151" s="4" t="s">
        <v>13</v>
      </c>
      <c r="E151" s="4">
        <v>41.3</v>
      </c>
      <c r="F151" s="4">
        <v>64.0</v>
      </c>
      <c r="G151" s="4" t="s">
        <v>15</v>
      </c>
      <c r="H151" s="4">
        <v>88.7</v>
      </c>
      <c r="I151" s="4">
        <f>E151*F151</f>
        <v>2643.2</v>
      </c>
      <c r="J151" s="4">
        <f>RANK(I151,$I$2:$I$201)+COUNTIF($I$2:I151,I151)-1</f>
        <v>98</v>
      </c>
    </row>
    <row r="152" spans="1:10" x14ac:dyDescent="0.15">
      <c r="A152" s="4">
        <v>151.0</v>
      </c>
      <c r="B152" s="4" t="s">
        <v>16</v>
      </c>
      <c r="C152" s="4">
        <v>47.0</v>
      </c>
      <c r="D152" s="4" t="s">
        <v>20</v>
      </c>
      <c r="E152" s="4">
        <v>67.4</v>
      </c>
      <c r="F152" s="4">
        <v>2.0</v>
      </c>
      <c r="G152" s="4" t="s">
        <v>17</v>
      </c>
      <c r="H152" s="4">
        <v>452.58</v>
      </c>
      <c r="I152" s="4">
        <f>E152*F152</f>
        <v>134.8</v>
      </c>
      <c r="J152" s="4">
        <f>RANK(I152,$I$2:$I$201)+COUNTIF($I$2:I152,I152)-1</f>
        <v>195</v>
      </c>
    </row>
    <row r="153" spans="1:10" x14ac:dyDescent="0.15">
      <c r="A153" s="4">
        <v>152.0</v>
      </c>
      <c r="B153" s="4" t="s">
        <v>10</v>
      </c>
      <c r="C153" s="4">
        <v>61.0</v>
      </c>
      <c r="D153" s="4" t="s">
        <v>11</v>
      </c>
      <c r="E153" s="4">
        <v>80.3</v>
      </c>
      <c r="F153" s="4">
        <v>45.0</v>
      </c>
      <c r="G153" s="4" t="s">
        <v>15</v>
      </c>
      <c r="H153" s="4">
        <v>163.59</v>
      </c>
      <c r="I153" s="4">
        <f>E153*F153</f>
        <v>3613.5</v>
      </c>
      <c r="J153" s="4">
        <f>RANK(I153,$I$2:$I$201)+COUNTIF($I$2:I153,I153)-1</f>
        <v>73</v>
      </c>
    </row>
    <row r="154" spans="1:10" x14ac:dyDescent="0.15">
      <c r="A154" s="4">
        <v>153.0</v>
      </c>
      <c r="B154" s="4" t="s">
        <v>16</v>
      </c>
      <c r="C154" s="4">
        <v>45.0</v>
      </c>
      <c r="D154" s="4" t="s">
        <v>20</v>
      </c>
      <c r="E154" s="4">
        <v>87.4</v>
      </c>
      <c r="F154" s="4">
        <v>26.0</v>
      </c>
      <c r="G154" s="4" t="s">
        <v>17</v>
      </c>
      <c r="H154" s="4">
        <v>429.6</v>
      </c>
      <c r="I154" s="4">
        <f>E154*F154</f>
        <v>2272.4</v>
      </c>
      <c r="J154" s="4">
        <f>RANK(I154,$I$2:$I$201)+COUNTIF($I$2:I154,I154)-1</f>
        <v>107</v>
      </c>
    </row>
    <row r="155" spans="1:10" x14ac:dyDescent="0.15">
      <c r="A155" s="4">
        <v>154.0</v>
      </c>
      <c r="B155" s="4" t="s">
        <v>10</v>
      </c>
      <c r="C155" s="4">
        <v>24.0</v>
      </c>
      <c r="D155" s="4" t="s">
        <v>20</v>
      </c>
      <c r="E155" s="4">
        <v>38.7</v>
      </c>
      <c r="F155" s="4">
        <v>74.0</v>
      </c>
      <c r="G155" s="4" t="s">
        <v>19</v>
      </c>
      <c r="H155" s="4">
        <v>496.49</v>
      </c>
      <c r="I155" s="4">
        <f>E155*F155</f>
        <v>2863.8</v>
      </c>
      <c r="J155" s="4">
        <f>RANK(I155,$I$2:$I$201)+COUNTIF($I$2:I155,I155)-1</f>
        <v>92</v>
      </c>
    </row>
    <row r="156" spans="1:10" x14ac:dyDescent="0.15">
      <c r="A156" s="4">
        <v>155.0</v>
      </c>
      <c r="B156" s="4" t="s">
        <v>10</v>
      </c>
      <c r="C156" s="4">
        <v>36.0</v>
      </c>
      <c r="D156" s="4" t="s">
        <v>20</v>
      </c>
      <c r="E156" s="4">
        <v>48.4</v>
      </c>
      <c r="F156" s="4">
        <v>73.0</v>
      </c>
      <c r="G156" s="4" t="s">
        <v>14</v>
      </c>
      <c r="H156" s="4">
        <v>457.1</v>
      </c>
      <c r="I156" s="4">
        <f>E156*F156</f>
        <v>3533.2</v>
      </c>
      <c r="J156" s="4">
        <f>RANK(I156,$I$2:$I$201)+COUNTIF($I$2:I156,I156)-1</f>
        <v>75</v>
      </c>
    </row>
    <row r="157" spans="1:10" x14ac:dyDescent="0.15">
      <c r="A157" s="4">
        <v>156.0</v>
      </c>
      <c r="B157" s="4" t="s">
        <v>16</v>
      </c>
      <c r="C157" s="4">
        <v>65.0</v>
      </c>
      <c r="D157" s="4" t="s">
        <v>18</v>
      </c>
      <c r="E157" s="4">
        <v>93.6</v>
      </c>
      <c r="F157" s="4">
        <v>30.0</v>
      </c>
      <c r="G157" s="4" t="s">
        <v>15</v>
      </c>
      <c r="H157" s="4">
        <v>404.93</v>
      </c>
      <c r="I157" s="4">
        <f>E157*F157</f>
        <v>2808</v>
      </c>
      <c r="J157" s="4">
        <f>RANK(I157,$I$2:$I$201)+COUNTIF($I$2:I157,I157)-1</f>
        <v>93</v>
      </c>
    </row>
    <row r="158" spans="1:10" x14ac:dyDescent="0.15">
      <c r="A158" s="4">
        <v>157.0</v>
      </c>
      <c r="B158" s="4" t="s">
        <v>10</v>
      </c>
      <c r="C158" s="4">
        <v>32.0</v>
      </c>
      <c r="D158" s="4" t="s">
        <v>13</v>
      </c>
      <c r="E158" s="4">
        <v>40.2</v>
      </c>
      <c r="F158" s="4">
        <v>97.0</v>
      </c>
      <c r="G158" s="4" t="s">
        <v>12</v>
      </c>
      <c r="H158" s="4">
        <v>321.56</v>
      </c>
      <c r="I158" s="4">
        <f>E158*F158</f>
        <v>3899.4</v>
      </c>
      <c r="J158" s="4">
        <f>RANK(I158,$I$2:$I$201)+COUNTIF($I$2:I158,I158)-1</f>
        <v>64</v>
      </c>
    </row>
    <row r="159" spans="1:10" x14ac:dyDescent="0.15">
      <c r="A159" s="4">
        <v>158.0</v>
      </c>
      <c r="B159" s="4" t="s">
        <v>10</v>
      </c>
      <c r="C159" s="4">
        <v>58.0</v>
      </c>
      <c r="D159" s="4" t="s">
        <v>18</v>
      </c>
      <c r="E159" s="4">
        <v>94.1</v>
      </c>
      <c r="F159" s="4">
        <v>5.0</v>
      </c>
      <c r="G159" s="4" t="s">
        <v>15</v>
      </c>
      <c r="H159" s="4">
        <v>195.13</v>
      </c>
      <c r="I159" s="4">
        <f>E159*F159</f>
        <v>470.5</v>
      </c>
      <c r="J159" s="4">
        <f>RANK(I159,$I$2:$I$201)+COUNTIF($I$2:I159,I159)-1</f>
        <v>182</v>
      </c>
    </row>
    <row r="160" spans="1:10" x14ac:dyDescent="0.15">
      <c r="A160" s="4">
        <v>159.0</v>
      </c>
      <c r="B160" s="4" t="s">
        <v>10</v>
      </c>
      <c r="C160" s="4">
        <v>26.0</v>
      </c>
      <c r="D160" s="4" t="s">
        <v>18</v>
      </c>
      <c r="E160" s="4">
        <v>32.5</v>
      </c>
      <c r="F160" s="4">
        <v>54.0</v>
      </c>
      <c r="G160" s="4" t="s">
        <v>12</v>
      </c>
      <c r="H160" s="4">
        <v>116.38</v>
      </c>
      <c r="I160" s="4">
        <f>E160*F160</f>
        <v>1755</v>
      </c>
      <c r="J160" s="4">
        <f>RANK(I160,$I$2:$I$201)+COUNTIF($I$2:I160,I160)-1</f>
        <v>126</v>
      </c>
    </row>
    <row r="161" spans="1:10" x14ac:dyDescent="0.15">
      <c r="A161" s="4">
        <v>160.0</v>
      </c>
      <c r="B161" s="4" t="s">
        <v>16</v>
      </c>
      <c r="C161" s="4">
        <v>68.0</v>
      </c>
      <c r="D161" s="4" t="s">
        <v>13</v>
      </c>
      <c r="E161" s="4">
        <v>82.7</v>
      </c>
      <c r="F161" s="4">
        <v>35.0</v>
      </c>
      <c r="G161" s="4" t="s">
        <v>12</v>
      </c>
      <c r="H161" s="4">
        <v>143.35</v>
      </c>
      <c r="I161" s="4">
        <f>E161*F161</f>
        <v>2894.5</v>
      </c>
      <c r="J161" s="4">
        <f>RANK(I161,$I$2:$I$201)+COUNTIF($I$2:I161,I161)-1</f>
        <v>90</v>
      </c>
    </row>
    <row r="162" spans="1:10" x14ac:dyDescent="0.15">
      <c r="A162" s="4">
        <v>161.0</v>
      </c>
      <c r="B162" s="4" t="s">
        <v>16</v>
      </c>
      <c r="C162" s="4">
        <v>70.0</v>
      </c>
      <c r="D162" s="4" t="s">
        <v>18</v>
      </c>
      <c r="E162" s="4">
        <v>92.5</v>
      </c>
      <c r="F162" s="4">
        <v>44.0</v>
      </c>
      <c r="G162" s="4" t="s">
        <v>14</v>
      </c>
      <c r="H162" s="4">
        <v>244.8</v>
      </c>
      <c r="I162" s="4">
        <f>E162*F162</f>
        <v>4070</v>
      </c>
      <c r="J162" s="4">
        <f>RANK(I162,$I$2:$I$201)+COUNTIF($I$2:I162,I162)-1</f>
        <v>58</v>
      </c>
    </row>
    <row r="163" spans="1:10" x14ac:dyDescent="0.15">
      <c r="A163" s="4">
        <v>162.0</v>
      </c>
      <c r="B163" s="4" t="s">
        <v>10</v>
      </c>
      <c r="C163" s="4">
        <v>22.0</v>
      </c>
      <c r="D163" s="4" t="s">
        <v>21</v>
      </c>
      <c r="E163" s="4">
        <v>46.6</v>
      </c>
      <c r="F163" s="4">
        <v>93.0</v>
      </c>
      <c r="G163" s="4" t="s">
        <v>17</v>
      </c>
      <c r="H163" s="4">
        <v>484.29</v>
      </c>
      <c r="I163" s="4">
        <f>E163*F163</f>
        <v>4333.8</v>
      </c>
      <c r="J163" s="4">
        <f>RANK(I163,$I$2:$I$201)+COUNTIF($I$2:I163,I163)-1</f>
        <v>54</v>
      </c>
    </row>
    <row r="164" spans="1:10" x14ac:dyDescent="0.15">
      <c r="A164" s="4">
        <v>163.0</v>
      </c>
      <c r="B164" s="4" t="s">
        <v>16</v>
      </c>
      <c r="C164" s="4">
        <v>69.0</v>
      </c>
      <c r="D164" s="4" t="s">
        <v>11</v>
      </c>
      <c r="E164" s="4">
        <v>94.2</v>
      </c>
      <c r="F164" s="4">
        <v>2.0</v>
      </c>
      <c r="G164" s="4" t="s">
        <v>19</v>
      </c>
      <c r="H164" s="4">
        <v>277.55</v>
      </c>
      <c r="I164" s="4">
        <f>E164*F164</f>
        <v>188.4</v>
      </c>
      <c r="J164" s="4">
        <f>RANK(I164,$I$2:$I$201)+COUNTIF($I$2:I164,I164)-1</f>
        <v>192</v>
      </c>
    </row>
    <row r="165" spans="1:10" x14ac:dyDescent="0.15">
      <c r="A165" s="4">
        <v>164.0</v>
      </c>
      <c r="B165" s="4" t="s">
        <v>16</v>
      </c>
      <c r="C165" s="4">
        <v>47.0</v>
      </c>
      <c r="D165" s="4" t="s">
        <v>18</v>
      </c>
      <c r="E165" s="4">
        <v>80.6</v>
      </c>
      <c r="F165" s="4">
        <v>82.0</v>
      </c>
      <c r="G165" s="4" t="s">
        <v>19</v>
      </c>
      <c r="H165" s="4">
        <v>72.01</v>
      </c>
      <c r="I165" s="4">
        <f>E165*F165</f>
        <v>6609.2</v>
      </c>
      <c r="J165" s="4">
        <f>RANK(I165,$I$2:$I$201)+COUNTIF($I$2:I165,I165)-1</f>
        <v>13</v>
      </c>
    </row>
    <row r="166" spans="1:10" x14ac:dyDescent="0.15">
      <c r="A166" s="4">
        <v>165.0</v>
      </c>
      <c r="B166" s="4" t="s">
        <v>16</v>
      </c>
      <c r="C166" s="4">
        <v>32.0</v>
      </c>
      <c r="D166" s="4" t="s">
        <v>11</v>
      </c>
      <c r="E166" s="4">
        <v>55.0</v>
      </c>
      <c r="F166" s="4">
        <v>72.0</v>
      </c>
      <c r="G166" s="4" t="s">
        <v>19</v>
      </c>
      <c r="H166" s="4">
        <v>459.32</v>
      </c>
      <c r="I166" s="4">
        <f>E166*F166</f>
        <v>3960</v>
      </c>
      <c r="J166" s="4">
        <f>RANK(I166,$I$2:$I$201)+COUNTIF($I$2:I166,I166)-1</f>
        <v>62</v>
      </c>
    </row>
    <row r="167" spans="1:10" x14ac:dyDescent="0.15">
      <c r="A167" s="4">
        <v>166.0</v>
      </c>
      <c r="B167" s="4" t="s">
        <v>10</v>
      </c>
      <c r="C167" s="4">
        <v>32.0</v>
      </c>
      <c r="D167" s="4" t="s">
        <v>20</v>
      </c>
      <c r="E167" s="4">
        <v>66.6</v>
      </c>
      <c r="F167" s="4">
        <v>39.0</v>
      </c>
      <c r="G167" s="4" t="s">
        <v>17</v>
      </c>
      <c r="H167" s="4">
        <v>76.0</v>
      </c>
      <c r="I167" s="4">
        <f>E167*F167</f>
        <v>2597.3999999999996</v>
      </c>
      <c r="J167" s="4">
        <f>RANK(I167,$I$2:$I$201)+COUNTIF($I$2:I167,I167)-1</f>
        <v>101</v>
      </c>
    </row>
    <row r="168" spans="1:10" x14ac:dyDescent="0.15">
      <c r="A168" s="4">
        <v>167.0</v>
      </c>
      <c r="B168" s="4" t="s">
        <v>10</v>
      </c>
      <c r="C168" s="4">
        <v>20.0</v>
      </c>
      <c r="D168" s="4" t="s">
        <v>18</v>
      </c>
      <c r="E168" s="4">
        <v>48.4</v>
      </c>
      <c r="F168" s="4">
        <v>15.0</v>
      </c>
      <c r="G168" s="4" t="s">
        <v>14</v>
      </c>
      <c r="H168" s="4">
        <v>132.7</v>
      </c>
      <c r="I168" s="4">
        <f>E168*F168</f>
        <v>726</v>
      </c>
      <c r="J168" s="4">
        <f>RANK(I168,$I$2:$I$201)+COUNTIF($I$2:I168,I168)-1</f>
        <v>165</v>
      </c>
    </row>
    <row r="169" spans="1:10" x14ac:dyDescent="0.15">
      <c r="A169" s="4">
        <v>168.0</v>
      </c>
      <c r="B169" s="4" t="s">
        <v>10</v>
      </c>
      <c r="C169" s="4">
        <v>52.0</v>
      </c>
      <c r="D169" s="4" t="s">
        <v>20</v>
      </c>
      <c r="E169" s="4">
        <v>80.7</v>
      </c>
      <c r="F169" s="4">
        <v>86.0</v>
      </c>
      <c r="G169" s="4" t="s">
        <v>15</v>
      </c>
      <c r="H169" s="4">
        <v>221.18</v>
      </c>
      <c r="I169" s="4">
        <f>E169*F169</f>
        <v>6940.2</v>
      </c>
      <c r="J169" s="4">
        <f>RANK(I169,$I$2:$I$201)+COUNTIF($I$2:I169,I169)-1</f>
        <v>8</v>
      </c>
    </row>
    <row r="170" spans="1:10" x14ac:dyDescent="0.15">
      <c r="A170" s="4">
        <v>169.0</v>
      </c>
      <c r="B170" s="4" t="s">
        <v>10</v>
      </c>
      <c r="C170" s="4">
        <v>65.0</v>
      </c>
      <c r="D170" s="4" t="s">
        <v>20</v>
      </c>
      <c r="E170" s="4">
        <v>88.8</v>
      </c>
      <c r="F170" s="4">
        <v>63.0</v>
      </c>
      <c r="G170" s="4" t="s">
        <v>15</v>
      </c>
      <c r="H170" s="4">
        <v>215.9</v>
      </c>
      <c r="I170" s="4">
        <f>E170*F170</f>
        <v>5594.4</v>
      </c>
      <c r="J170" s="4">
        <f>RANK(I170,$I$2:$I$201)+COUNTIF($I$2:I170,I170)-1</f>
        <v>29</v>
      </c>
    </row>
    <row r="171" spans="1:10" x14ac:dyDescent="0.15">
      <c r="A171" s="4">
        <v>170.0</v>
      </c>
      <c r="B171" s="4" t="s">
        <v>10</v>
      </c>
      <c r="C171" s="4">
        <v>35.0</v>
      </c>
      <c r="D171" s="4" t="s">
        <v>18</v>
      </c>
      <c r="E171" s="4">
        <v>44.3</v>
      </c>
      <c r="F171" s="4">
        <v>57.0</v>
      </c>
      <c r="G171" s="4" t="s">
        <v>12</v>
      </c>
      <c r="H171" s="4">
        <v>430.62</v>
      </c>
      <c r="I171" s="4">
        <f>E171*F171</f>
        <v>2525.1</v>
      </c>
      <c r="J171" s="4">
        <f>RANK(I171,$I$2:$I$201)+COUNTIF($I$2:I171,I171)-1</f>
        <v>105</v>
      </c>
    </row>
    <row r="172" spans="1:10" x14ac:dyDescent="0.15">
      <c r="A172" s="4">
        <v>171.0</v>
      </c>
      <c r="B172" s="4" t="s">
        <v>16</v>
      </c>
      <c r="C172" s="4">
        <v>24.0</v>
      </c>
      <c r="D172" s="4" t="s">
        <v>13</v>
      </c>
      <c r="E172" s="4">
        <v>51.9</v>
      </c>
      <c r="F172" s="4">
        <v>83.0</v>
      </c>
      <c r="G172" s="4" t="s">
        <v>19</v>
      </c>
      <c r="H172" s="4">
        <v>49.06</v>
      </c>
      <c r="I172" s="4">
        <f>E172*F172</f>
        <v>4307.7</v>
      </c>
      <c r="J172" s="4">
        <f>RANK(I172,$I$2:$I$201)+COUNTIF($I$2:I172,I172)-1</f>
        <v>56</v>
      </c>
    </row>
    <row r="173" spans="1:10" x14ac:dyDescent="0.15">
      <c r="A173" s="4">
        <v>172.0</v>
      </c>
      <c r="B173" s="4" t="s">
        <v>10</v>
      </c>
      <c r="C173" s="4">
        <v>35.0</v>
      </c>
      <c r="D173" s="4" t="s">
        <v>11</v>
      </c>
      <c r="E173" s="4">
        <v>73.6</v>
      </c>
      <c r="F173" s="4">
        <v>59.0</v>
      </c>
      <c r="G173" s="4" t="s">
        <v>14</v>
      </c>
      <c r="H173" s="4">
        <v>338.13</v>
      </c>
      <c r="I173" s="4">
        <f>E173*F173</f>
        <v>4342.4</v>
      </c>
      <c r="J173" s="4">
        <f>RANK(I173,$I$2:$I$201)+COUNTIF($I$2:I173,I173)-1</f>
        <v>53</v>
      </c>
    </row>
    <row r="174" spans="1:10" x14ac:dyDescent="0.15">
      <c r="A174" s="4">
        <v>173.0</v>
      </c>
      <c r="B174" s="4" t="s">
        <v>10</v>
      </c>
      <c r="C174" s="4">
        <v>59.0</v>
      </c>
      <c r="D174" s="4" t="s">
        <v>11</v>
      </c>
      <c r="E174" s="4">
        <v>94.1</v>
      </c>
      <c r="F174" s="4">
        <v>32.0</v>
      </c>
      <c r="G174" s="4" t="s">
        <v>12</v>
      </c>
      <c r="H174" s="4">
        <v>397.75</v>
      </c>
      <c r="I174" s="4">
        <f>E174*F174</f>
        <v>3011.2</v>
      </c>
      <c r="J174" s="4">
        <f>RANK(I174,$I$2:$I$201)+COUNTIF($I$2:I174,I174)-1</f>
        <v>88</v>
      </c>
    </row>
    <row r="175" spans="1:10" x14ac:dyDescent="0.15">
      <c r="A175" s="4">
        <v>174.0</v>
      </c>
      <c r="B175" s="4" t="s">
        <v>10</v>
      </c>
      <c r="C175" s="4">
        <v>31.0</v>
      </c>
      <c r="D175" s="4" t="s">
        <v>13</v>
      </c>
      <c r="E175" s="4">
        <v>36.7</v>
      </c>
      <c r="F175" s="4">
        <v>28.0</v>
      </c>
      <c r="G175" s="4" t="s">
        <v>12</v>
      </c>
      <c r="H175" s="4">
        <v>177.71</v>
      </c>
      <c r="I175" s="4">
        <f>E175*F175</f>
        <v>1027.6000000000001</v>
      </c>
      <c r="J175" s="4">
        <f>RANK(I175,$I$2:$I$201)+COUNTIF($I$2:I175,I175)-1</f>
        <v>155</v>
      </c>
    </row>
    <row r="176" spans="1:10" x14ac:dyDescent="0.15">
      <c r="A176" s="4">
        <v>175.0</v>
      </c>
      <c r="B176" s="4" t="s">
        <v>10</v>
      </c>
      <c r="C176" s="4">
        <v>27.0</v>
      </c>
      <c r="D176" s="4" t="s">
        <v>18</v>
      </c>
      <c r="E176" s="4">
        <v>55.5</v>
      </c>
      <c r="F176" s="4">
        <v>19.0</v>
      </c>
      <c r="G176" s="4" t="s">
        <v>12</v>
      </c>
      <c r="H176" s="4">
        <v>279.3</v>
      </c>
      <c r="I176" s="4">
        <f>E176*F176</f>
        <v>1054.5</v>
      </c>
      <c r="J176" s="4">
        <f>RANK(I176,$I$2:$I$201)+COUNTIF($I$2:I176,I176)-1</f>
        <v>153</v>
      </c>
    </row>
    <row r="177" spans="1:10" x14ac:dyDescent="0.15">
      <c r="A177" s="4">
        <v>176.0</v>
      </c>
      <c r="B177" s="4" t="s">
        <v>10</v>
      </c>
      <c r="C177" s="4">
        <v>69.0</v>
      </c>
      <c r="D177" s="4" t="s">
        <v>11</v>
      </c>
      <c r="E177" s="4">
        <v>89.0</v>
      </c>
      <c r="F177" s="4">
        <v>4.0</v>
      </c>
      <c r="G177" s="4" t="s">
        <v>12</v>
      </c>
      <c r="H177" s="4">
        <v>27.13</v>
      </c>
      <c r="I177" s="4">
        <f>E177*F177</f>
        <v>356</v>
      </c>
      <c r="J177" s="4">
        <f>RANK(I177,$I$2:$I$201)+COUNTIF($I$2:I177,I177)-1</f>
        <v>184</v>
      </c>
    </row>
    <row r="178" spans="1:10" x14ac:dyDescent="0.15">
      <c r="A178" s="4">
        <v>177.0</v>
      </c>
      <c r="B178" s="4" t="s">
        <v>10</v>
      </c>
      <c r="C178" s="4">
        <v>68.0</v>
      </c>
      <c r="D178" s="4" t="s">
        <v>13</v>
      </c>
      <c r="E178" s="4">
        <v>75.6</v>
      </c>
      <c r="F178" s="4">
        <v>23.0</v>
      </c>
      <c r="G178" s="4" t="s">
        <v>19</v>
      </c>
      <c r="H178" s="4">
        <v>45.15</v>
      </c>
      <c r="I178" s="4">
        <f>E178*F178</f>
        <v>1738.8</v>
      </c>
      <c r="J178" s="4">
        <f>RANK(I178,$I$2:$I$201)+COUNTIF($I$2:I178,I178)-1</f>
        <v>127</v>
      </c>
    </row>
    <row r="179" spans="1:10" x14ac:dyDescent="0.15">
      <c r="A179" s="4">
        <v>178.0</v>
      </c>
      <c r="B179" s="4" t="s">
        <v>16</v>
      </c>
      <c r="C179" s="4">
        <v>65.0</v>
      </c>
      <c r="D179" s="4" t="s">
        <v>13</v>
      </c>
      <c r="E179" s="4">
        <v>67.1</v>
      </c>
      <c r="F179" s="4">
        <v>9.0</v>
      </c>
      <c r="G179" s="4" t="s">
        <v>17</v>
      </c>
      <c r="H179" s="4">
        <v>235.17</v>
      </c>
      <c r="I179" s="4">
        <f>E179*F179</f>
        <v>603.9</v>
      </c>
      <c r="J179" s="4">
        <f>RANK(I179,$I$2:$I$201)+COUNTIF($I$2:I179,I179)-1</f>
        <v>172</v>
      </c>
    </row>
    <row r="180" spans="1:10" x14ac:dyDescent="0.15">
      <c r="A180" s="4">
        <v>179.0</v>
      </c>
      <c r="B180" s="4" t="s">
        <v>10</v>
      </c>
      <c r="C180" s="4">
        <v>41.0</v>
      </c>
      <c r="D180" s="4" t="s">
        <v>20</v>
      </c>
      <c r="E180" s="4">
        <v>66.6</v>
      </c>
      <c r="F180" s="4">
        <v>79.0</v>
      </c>
      <c r="G180" s="4" t="s">
        <v>14</v>
      </c>
      <c r="H180" s="4">
        <v>369.08</v>
      </c>
      <c r="I180" s="4">
        <f>E180*F180</f>
        <v>5261.4</v>
      </c>
      <c r="J180" s="4">
        <f>RANK(I180,$I$2:$I$201)+COUNTIF($I$2:I180,I180)-1</f>
        <v>33</v>
      </c>
    </row>
    <row r="181" spans="1:10" x14ac:dyDescent="0.15">
      <c r="A181" s="4">
        <v>180.0</v>
      </c>
      <c r="B181" s="4" t="s">
        <v>16</v>
      </c>
      <c r="C181" s="4">
        <v>60.0</v>
      </c>
      <c r="D181" s="4" t="s">
        <v>20</v>
      </c>
      <c r="E181" s="4">
        <v>88.3</v>
      </c>
      <c r="F181" s="4">
        <v>4.0</v>
      </c>
      <c r="G181" s="4" t="s">
        <v>14</v>
      </c>
      <c r="H181" s="4">
        <v>499.32</v>
      </c>
      <c r="I181" s="4">
        <f>E181*F181</f>
        <v>353.2</v>
      </c>
      <c r="J181" s="4">
        <f>RANK(I181,$I$2:$I$201)+COUNTIF($I$2:I181,I181)-1</f>
        <v>185</v>
      </c>
    </row>
    <row r="182" spans="1:10" x14ac:dyDescent="0.15">
      <c r="A182" s="4">
        <v>181.0</v>
      </c>
      <c r="B182" s="4" t="s">
        <v>16</v>
      </c>
      <c r="C182" s="4">
        <v>43.0</v>
      </c>
      <c r="D182" s="4" t="s">
        <v>11</v>
      </c>
      <c r="E182" s="4">
        <v>69.6</v>
      </c>
      <c r="F182" s="4">
        <v>57.0</v>
      </c>
      <c r="G182" s="4" t="s">
        <v>14</v>
      </c>
      <c r="H182" s="4">
        <v>451.65</v>
      </c>
      <c r="I182" s="4">
        <f>E182*F182</f>
        <v>3967.2</v>
      </c>
      <c r="J182" s="4">
        <f>RANK(I182,$I$2:$I$201)+COUNTIF($I$2:I182,I182)-1</f>
        <v>61</v>
      </c>
    </row>
    <row r="183" spans="1:10" x14ac:dyDescent="0.15">
      <c r="A183" s="4">
        <v>182.0</v>
      </c>
      <c r="B183" s="4" t="s">
        <v>10</v>
      </c>
      <c r="C183" s="4">
        <v>38.0</v>
      </c>
      <c r="D183" s="4" t="s">
        <v>11</v>
      </c>
      <c r="E183" s="4">
        <v>46.0</v>
      </c>
      <c r="F183" s="4">
        <v>80.0</v>
      </c>
      <c r="G183" s="4" t="s">
        <v>15</v>
      </c>
      <c r="H183" s="4">
        <v>283.21</v>
      </c>
      <c r="I183" s="4">
        <f>E183*F183</f>
        <v>3680</v>
      </c>
      <c r="J183" s="4">
        <f>RANK(I183,$I$2:$I$201)+COUNTIF($I$2:I183,I183)-1</f>
        <v>68</v>
      </c>
    </row>
    <row r="184" spans="1:10" x14ac:dyDescent="0.15">
      <c r="A184" s="4">
        <v>183.0</v>
      </c>
      <c r="B184" s="4" t="s">
        <v>16</v>
      </c>
      <c r="C184" s="4">
        <v>38.0</v>
      </c>
      <c r="D184" s="4" t="s">
        <v>13</v>
      </c>
      <c r="E184" s="4">
        <v>62.2</v>
      </c>
      <c r="F184" s="4">
        <v>59.0</v>
      </c>
      <c r="G184" s="4" t="s">
        <v>15</v>
      </c>
      <c r="H184" s="4">
        <v>310.6</v>
      </c>
      <c r="I184" s="4">
        <f>E184*F184</f>
        <v>3669.8</v>
      </c>
      <c r="J184" s="4">
        <f>RANK(I184,$I$2:$I$201)+COUNTIF($I$2:I184,I184)-1</f>
        <v>70</v>
      </c>
    </row>
    <row r="185" spans="1:10" x14ac:dyDescent="0.15">
      <c r="A185" s="4">
        <v>184.0</v>
      </c>
      <c r="B185" s="4" t="s">
        <v>10</v>
      </c>
      <c r="C185" s="4">
        <v>24.0</v>
      </c>
      <c r="D185" s="4" t="s">
        <v>13</v>
      </c>
      <c r="E185" s="4">
        <v>44.6</v>
      </c>
      <c r="F185" s="4">
        <v>28.0</v>
      </c>
      <c r="G185" s="4" t="s">
        <v>17</v>
      </c>
      <c r="H185" s="4">
        <v>236.75</v>
      </c>
      <c r="I185" s="4">
        <f>E185*F185</f>
        <v>1248.8</v>
      </c>
      <c r="J185" s="4">
        <f>RANK(I185,$I$2:$I$201)+COUNTIF($I$2:I185,I185)-1</f>
        <v>145</v>
      </c>
    </row>
    <row r="186" spans="1:10" x14ac:dyDescent="0.15">
      <c r="A186" s="4">
        <v>185.0</v>
      </c>
      <c r="B186" s="4" t="s">
        <v>16</v>
      </c>
      <c r="C186" s="4">
        <v>32.0</v>
      </c>
      <c r="D186" s="4" t="s">
        <v>18</v>
      </c>
      <c r="E186" s="4">
        <v>63.3</v>
      </c>
      <c r="F186" s="4">
        <v>52.0</v>
      </c>
      <c r="G186" s="4" t="s">
        <v>17</v>
      </c>
      <c r="H186" s="4">
        <v>370.21</v>
      </c>
      <c r="I186" s="4">
        <f>E186*F186</f>
        <v>3291.6</v>
      </c>
      <c r="J186" s="4">
        <f>RANK(I186,$I$2:$I$201)+COUNTIF($I$2:I186,I186)-1</f>
        <v>81</v>
      </c>
    </row>
    <row r="187" spans="1:10" x14ac:dyDescent="0.15">
      <c r="A187" s="4">
        <v>186.0</v>
      </c>
      <c r="B187" s="4" t="s">
        <v>16</v>
      </c>
      <c r="C187" s="4">
        <v>38.0</v>
      </c>
      <c r="D187" s="4" t="s">
        <v>18</v>
      </c>
      <c r="E187" s="4">
        <v>67.6</v>
      </c>
      <c r="F187" s="4">
        <v>48.0</v>
      </c>
      <c r="G187" s="4" t="s">
        <v>12</v>
      </c>
      <c r="H187" s="4">
        <v>349.67</v>
      </c>
      <c r="I187" s="4">
        <f>E187*F187</f>
        <v>3244.7999999999997</v>
      </c>
      <c r="J187" s="4">
        <f>RANK(I187,$I$2:$I$201)+COUNTIF($I$2:I187,I187)-1</f>
        <v>82</v>
      </c>
    </row>
    <row r="188" spans="1:10" x14ac:dyDescent="0.15">
      <c r="A188" s="4">
        <v>187.0</v>
      </c>
      <c r="B188" s="4" t="s">
        <v>10</v>
      </c>
      <c r="C188" s="4">
        <v>48.0</v>
      </c>
      <c r="D188" s="4" t="s">
        <v>11</v>
      </c>
      <c r="E188" s="4">
        <v>92.3</v>
      </c>
      <c r="F188" s="4">
        <v>12.0</v>
      </c>
      <c r="G188" s="4" t="s">
        <v>17</v>
      </c>
      <c r="H188" s="4">
        <v>66.35</v>
      </c>
      <c r="I188" s="4">
        <f>E188*F188</f>
        <v>1107.6</v>
      </c>
      <c r="J188" s="4">
        <f>RANK(I188,$I$2:$I$201)+COUNTIF($I$2:I188,I188)-1</f>
        <v>152</v>
      </c>
    </row>
    <row r="189" spans="1:10" x14ac:dyDescent="0.15">
      <c r="A189" s="4">
        <v>188.0</v>
      </c>
      <c r="B189" s="4" t="s">
        <v>16</v>
      </c>
      <c r="C189" s="4">
        <v>65.0</v>
      </c>
      <c r="D189" s="4" t="s">
        <v>21</v>
      </c>
      <c r="E189" s="4">
        <v>84.9</v>
      </c>
      <c r="F189" s="4">
        <v>76.0</v>
      </c>
      <c r="G189" s="4" t="s">
        <v>15</v>
      </c>
      <c r="H189" s="4">
        <v>289.61</v>
      </c>
      <c r="I189" s="4">
        <f>E189*F189</f>
        <v>6452.400000000001</v>
      </c>
      <c r="J189" s="4">
        <f>RANK(I189,$I$2:$I$201)+COUNTIF($I$2:I189,I189)-1</f>
        <v>15</v>
      </c>
    </row>
    <row r="190" spans="1:10" x14ac:dyDescent="0.15">
      <c r="A190" s="4">
        <v>189.0</v>
      </c>
      <c r="B190" s="4" t="s">
        <v>10</v>
      </c>
      <c r="C190" s="4">
        <v>60.0</v>
      </c>
      <c r="D190" s="4" t="s">
        <v>20</v>
      </c>
      <c r="E190" s="4">
        <v>76.7</v>
      </c>
      <c r="F190" s="4">
        <v>86.0</v>
      </c>
      <c r="G190" s="4" t="s">
        <v>17</v>
      </c>
      <c r="H190" s="4">
        <v>436.68</v>
      </c>
      <c r="I190" s="4">
        <f>E190*F190</f>
        <v>6596.2</v>
      </c>
      <c r="J190" s="4">
        <f>RANK(I190,$I$2:$I$201)+COUNTIF($I$2:I190,I190)-1</f>
        <v>14</v>
      </c>
    </row>
    <row r="191" spans="1:10" x14ac:dyDescent="0.15">
      <c r="A191" s="4">
        <v>190.0</v>
      </c>
      <c r="B191" s="4" t="s">
        <v>10</v>
      </c>
      <c r="C191" s="4">
        <v>64.0</v>
      </c>
      <c r="D191" s="4" t="s">
        <v>18</v>
      </c>
      <c r="E191" s="4">
        <v>86.6</v>
      </c>
      <c r="F191" s="4">
        <v>46.0</v>
      </c>
      <c r="G191" s="4" t="s">
        <v>14</v>
      </c>
      <c r="H191" s="4">
        <v>297.4</v>
      </c>
      <c r="I191" s="4">
        <f>E191*F191</f>
        <v>3983.6</v>
      </c>
      <c r="J191" s="4">
        <f>RANK(I191,$I$2:$I$201)+COUNTIF($I$2:I191,I191)-1</f>
        <v>60</v>
      </c>
    </row>
    <row r="192" spans="1:10" x14ac:dyDescent="0.15">
      <c r="A192" s="4">
        <v>191.0</v>
      </c>
      <c r="B192" s="4" t="s">
        <v>10</v>
      </c>
      <c r="C192" s="4">
        <v>31.0</v>
      </c>
      <c r="D192" s="4" t="s">
        <v>20</v>
      </c>
      <c r="E192" s="4">
        <v>37.4</v>
      </c>
      <c r="F192" s="4">
        <v>14.0</v>
      </c>
      <c r="G192" s="4" t="s">
        <v>19</v>
      </c>
      <c r="H192" s="4">
        <v>425.78</v>
      </c>
      <c r="I192" s="4">
        <f>E192*F192</f>
        <v>523.6</v>
      </c>
      <c r="J192" s="4">
        <f>RANK(I192,$I$2:$I$201)+COUNTIF($I$2:I192,I192)-1</f>
        <v>179</v>
      </c>
    </row>
    <row r="193" spans="1:10" x14ac:dyDescent="0.15">
      <c r="A193" s="4">
        <v>192.0</v>
      </c>
      <c r="B193" s="4" t="s">
        <v>10</v>
      </c>
      <c r="C193" s="4">
        <v>41.0</v>
      </c>
      <c r="D193" s="4" t="s">
        <v>18</v>
      </c>
      <c r="E193" s="4">
        <v>69.4</v>
      </c>
      <c r="F193" s="4">
        <v>55.0</v>
      </c>
      <c r="G193" s="4" t="s">
        <v>15</v>
      </c>
      <c r="H193" s="4">
        <v>487.78</v>
      </c>
      <c r="I193" s="4">
        <f>E193*F193</f>
        <v>3817.0000000000005</v>
      </c>
      <c r="J193" s="4">
        <f>RANK(I193,$I$2:$I$201)+COUNTIF($I$2:I193,I193)-1</f>
        <v>67</v>
      </c>
    </row>
    <row r="194" spans="1:10" x14ac:dyDescent="0.15">
      <c r="A194" s="4">
        <v>193.0</v>
      </c>
      <c r="B194" s="4" t="s">
        <v>10</v>
      </c>
      <c r="C194" s="4">
        <v>70.0</v>
      </c>
      <c r="D194" s="4" t="s">
        <v>13</v>
      </c>
      <c r="E194" s="4">
        <v>99.8</v>
      </c>
      <c r="F194" s="4">
        <v>89.0</v>
      </c>
      <c r="G194" s="4" t="s">
        <v>19</v>
      </c>
      <c r="H194" s="4">
        <v>33.9</v>
      </c>
      <c r="I194" s="4">
        <f>E194*F194</f>
        <v>8882.199999999999</v>
      </c>
      <c r="J194" s="4">
        <f>RANK(I194,$I$2:$I$201)+COUNTIF($I$2:I194,I194)-1</f>
        <v>1</v>
      </c>
    </row>
    <row r="195" spans="1:10" x14ac:dyDescent="0.15">
      <c r="A195" s="4">
        <v>194.0</v>
      </c>
      <c r="B195" s="4" t="s">
        <v>16</v>
      </c>
      <c r="C195" s="4">
        <v>35.0</v>
      </c>
      <c r="D195" s="4" t="s">
        <v>18</v>
      </c>
      <c r="E195" s="4">
        <v>49.6</v>
      </c>
      <c r="F195" s="4">
        <v>24.0</v>
      </c>
      <c r="G195" s="4" t="s">
        <v>12</v>
      </c>
      <c r="H195" s="4">
        <v>291.83</v>
      </c>
      <c r="I195" s="4">
        <f>E195*F195</f>
        <v>1190.4</v>
      </c>
      <c r="J195" s="4">
        <f>RANK(I195,$I$2:$I$201)+COUNTIF($I$2:I195,I195)-1</f>
        <v>150</v>
      </c>
    </row>
    <row r="196" spans="1:10" x14ac:dyDescent="0.15">
      <c r="A196" s="4">
        <v>195.0</v>
      </c>
      <c r="B196" s="4" t="s">
        <v>10</v>
      </c>
      <c r="C196" s="4">
        <v>43.0</v>
      </c>
      <c r="D196" s="4" t="s">
        <v>21</v>
      </c>
      <c r="E196" s="4">
        <v>79.6</v>
      </c>
      <c r="F196" s="4">
        <v>4.0</v>
      </c>
      <c r="G196" s="4" t="s">
        <v>14</v>
      </c>
      <c r="H196" s="4">
        <v>378.13</v>
      </c>
      <c r="I196" s="4">
        <f>E196*F196</f>
        <v>318.4</v>
      </c>
      <c r="J196" s="4">
        <f>RANK(I196,$I$2:$I$201)+COUNTIF($I$2:I196,I196)-1</f>
        <v>187</v>
      </c>
    </row>
    <row r="197" spans="1:10" x14ac:dyDescent="0.15">
      <c r="A197" s="4">
        <v>196.0</v>
      </c>
      <c r="B197" s="4" t="s">
        <v>16</v>
      </c>
      <c r="C197" s="4">
        <v>31.0</v>
      </c>
      <c r="D197" s="4" t="s">
        <v>20</v>
      </c>
      <c r="E197" s="4">
        <v>46.5</v>
      </c>
      <c r="F197" s="4">
        <v>21.0</v>
      </c>
      <c r="G197" s="4" t="s">
        <v>19</v>
      </c>
      <c r="H197" s="4">
        <v>169.59</v>
      </c>
      <c r="I197" s="4">
        <f>E197*F197</f>
        <v>976.5</v>
      </c>
      <c r="J197" s="4">
        <f>RANK(I197,$I$2:$I$201)+COUNTIF($I$2:I197,I197)-1</f>
        <v>157</v>
      </c>
    </row>
    <row r="198" spans="1:10" x14ac:dyDescent="0.15">
      <c r="A198" s="4">
        <v>197.0</v>
      </c>
      <c r="B198" s="4" t="s">
        <v>10</v>
      </c>
      <c r="C198" s="4">
        <v>38.0</v>
      </c>
      <c r="D198" s="4" t="s">
        <v>11</v>
      </c>
      <c r="E198" s="4">
        <v>47.2</v>
      </c>
      <c r="F198" s="4">
        <v>97.0</v>
      </c>
      <c r="G198" s="4" t="s">
        <v>15</v>
      </c>
      <c r="H198" s="4">
        <v>43.89</v>
      </c>
      <c r="I198" s="4">
        <f>E198*F198</f>
        <v>4578.400000000001</v>
      </c>
      <c r="J198" s="4">
        <f>RANK(I198,$I$2:$I$201)+COUNTIF($I$2:I198,I198)-1</f>
        <v>48</v>
      </c>
    </row>
    <row r="199" spans="1:10" x14ac:dyDescent="0.15">
      <c r="A199" s="4">
        <v>198.0</v>
      </c>
      <c r="B199" s="4" t="s">
        <v>16</v>
      </c>
      <c r="C199" s="4">
        <v>23.0</v>
      </c>
      <c r="D199" s="4" t="s">
        <v>20</v>
      </c>
      <c r="E199" s="4">
        <v>40.5</v>
      </c>
      <c r="F199" s="4">
        <v>63.0</v>
      </c>
      <c r="G199" s="4" t="s">
        <v>15</v>
      </c>
      <c r="H199" s="4">
        <v>232.18</v>
      </c>
      <c r="I199" s="4">
        <f>E199*F199</f>
        <v>2551.5</v>
      </c>
      <c r="J199" s="4">
        <f>RANK(I199,$I$2:$I$201)+COUNTIF($I$2:I199,I199)-1</f>
        <v>103</v>
      </c>
    </row>
    <row r="200" spans="1:10" x14ac:dyDescent="0.15">
      <c r="A200" s="4">
        <v>199.0</v>
      </c>
      <c r="B200" s="4" t="s">
        <v>10</v>
      </c>
      <c r="C200" s="4">
        <v>35.0</v>
      </c>
      <c r="D200" s="4" t="s">
        <v>13</v>
      </c>
      <c r="E200" s="4">
        <v>40.2</v>
      </c>
      <c r="F200" s="4">
        <v>56.0</v>
      </c>
      <c r="G200" s="4" t="s">
        <v>14</v>
      </c>
      <c r="H200" s="4">
        <v>155.96</v>
      </c>
      <c r="I200" s="4">
        <f>E200*F200</f>
        <v>2251.2000000000003</v>
      </c>
      <c r="J200" s="4">
        <f>RANK(I200,$I$2:$I$201)+COUNTIF($I$2:I200,I200)-1</f>
        <v>109</v>
      </c>
    </row>
    <row r="201" spans="1:10" x14ac:dyDescent="0.15">
      <c r="A201" s="4">
        <v>200.0</v>
      </c>
      <c r="B201" s="4" t="s">
        <v>16</v>
      </c>
      <c r="C201" s="4">
        <v>61.0</v>
      </c>
      <c r="D201" s="4" t="s">
        <v>13</v>
      </c>
      <c r="E201" s="4">
        <v>89.3</v>
      </c>
      <c r="F201" s="4">
        <v>6.0</v>
      </c>
      <c r="G201" s="4" t="s">
        <v>12</v>
      </c>
      <c r="H201" s="4">
        <v>209.73</v>
      </c>
      <c r="I201" s="4">
        <f>E201*F201</f>
        <v>535.8</v>
      </c>
      <c r="J201" s="4">
        <f>RANK(I201,$I$2:$I$201)+COUNTIF($I$2:I201,I201)-1</f>
        <v>178</v>
      </c>
    </row>
  </sheetData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33"/>
  <sheetViews>
    <sheetView zoomScale="60" zoomScaleNormal="60" topLeftCell="A1" workbookViewId="0">
      <selection activeCell="A1" activeCellId="0" sqref="A1"/>
    </sheetView>
  </sheetViews>
  <sheetFormatPr defaultRowHeight="15.0" defaultColWidth="8.625" x14ac:dyDescent="0.15"/>
  <cols>
    <col min="1" max="1" width="14.0" customWidth="1" style="1"/>
    <col min="2" max="2" width="16.0" customWidth="1" style="1"/>
    <col min="3" max="3" width="14.0" customWidth="1" style="1"/>
    <col min="4" max="4" width="10.0" customWidth="1" style="1"/>
    <col min="5" max="6" width="16.0" customWidth="1" style="1"/>
    <col min="7" max="7" width="24.0" customWidth="1" style="1"/>
  </cols>
  <sheetData>
    <row r="1" spans="1:6" ht="21.749668" x14ac:dyDescent="0.15">
      <c r="A1" s="69" t="s">
        <v>22</v>
      </c>
      <c r="B1" s="69"/>
      <c r="C1" s="69"/>
      <c r="D1" s="69"/>
      <c r="E1" s="69"/>
      <c r="F1" s="69"/>
    </row>
    <row r="3" spans="1:1" customHeight="1" x14ac:dyDescent="0.15">
      <c r="A3" s="6" t="s">
        <v>23</v>
      </c>
    </row>
    <row r="4" spans="1:5" ht="44.999313" x14ac:dyDescent="0.1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</row>
    <row r="5" spans="1:5" x14ac:dyDescent="0.15">
      <c r="A5" s="4" t="s">
        <v>29</v>
      </c>
      <c r="B5" s="4">
        <f>COUNTIFS('Raw Data'!$C$2:$C$201,"&gt;="&amp;18,'Raw Data'!$C$2:$C$201,"&lt;="&amp;25)</f>
        <v>28</v>
      </c>
      <c r="C5" s="7">
        <f>_xlfn.IFERROR(AVERAGEIFS('Raw Data'!$E$2:$E$201,'Raw Data'!$C$2:$C$201,"&gt;="&amp;18,'Raw Data'!$C$2:$C$201,"&lt;="&amp;25),0)</f>
        <v>0</v>
      </c>
      <c r="D5" s="7">
        <f>_xlfn.IFERROR(AVERAGEIFS('Raw Data'!$F$2:$F$201,'Raw Data'!$C$2:$C$201,"&gt;="&amp;18,'Raw Data'!$C$2:$C$201,"&lt;="&amp;25),0)</f>
        <v>0</v>
      </c>
      <c r="E5" s="7">
        <f>_xlfn.IFERROR(AVERAGEIFS('Raw Data'!$H$2:$H$201,'Raw Data'!$C$2:$C$201,"&gt;="&amp;18,'Raw Data'!$C$2:$C$201,"&lt;="&amp;25),0)</f>
        <v>0</v>
      </c>
    </row>
    <row r="6" spans="1:5" x14ac:dyDescent="0.15">
      <c r="A6" s="4" t="s">
        <v>30</v>
      </c>
      <c r="B6" s="4">
        <f>COUNTIFS('Raw Data'!$C$2:$C$201,"&gt;="&amp;26,'Raw Data'!$C$2:$C$201,"&lt;="&amp;35)</f>
        <v>39</v>
      </c>
      <c r="C6" s="7">
        <f>_xlfn.IFERROR(AVERAGEIFS('Raw Data'!$E$2:$E$201,'Raw Data'!$C$2:$C$201,"&gt;="&amp;26,'Raw Data'!$C$2:$C$201,"&lt;="&amp;35),0)</f>
        <v>0</v>
      </c>
      <c r="D6" s="7">
        <f>_xlfn.IFERROR(AVERAGEIFS('Raw Data'!$F$2:$F$201,'Raw Data'!$C$2:$C$201,"&gt;="&amp;26,'Raw Data'!$C$2:$C$201,"&lt;="&amp;35),0)</f>
        <v>0</v>
      </c>
      <c r="E6" s="7">
        <f>_xlfn.IFERROR(AVERAGEIFS('Raw Data'!$H$2:$H$201,'Raw Data'!$C$2:$C$201,"&gt;="&amp;26,'Raw Data'!$C$2:$C$201,"&lt;="&amp;35),0)</f>
        <v>0</v>
      </c>
    </row>
    <row r="7" spans="1:5" x14ac:dyDescent="0.15">
      <c r="A7" s="4" t="s">
        <v>31</v>
      </c>
      <c r="B7" s="4">
        <f>COUNTIFS('Raw Data'!$C$2:$C$201,"&gt;="&amp;36,'Raw Data'!$C$2:$C$201,"&lt;="&amp;45)</f>
        <v>43</v>
      </c>
      <c r="C7" s="7">
        <f>_xlfn.IFERROR(AVERAGEIFS('Raw Data'!$E$2:$E$201,'Raw Data'!$C$2:$C$201,"&gt;="&amp;36,'Raw Data'!$C$2:$C$201,"&lt;="&amp;45),0)</f>
        <v>0</v>
      </c>
      <c r="D7" s="7">
        <f>_xlfn.IFERROR(AVERAGEIFS('Raw Data'!$F$2:$F$201,'Raw Data'!$C$2:$C$201,"&gt;="&amp;36,'Raw Data'!$C$2:$C$201,"&lt;="&amp;45),0)</f>
        <v>0</v>
      </c>
      <c r="E7" s="7">
        <f>_xlfn.IFERROR(AVERAGEIFS('Raw Data'!$H$2:$H$201,'Raw Data'!$C$2:$C$201,"&gt;="&amp;36,'Raw Data'!$C$2:$C$201,"&lt;="&amp;45),0)</f>
        <v>0</v>
      </c>
    </row>
    <row r="8" spans="1:5" x14ac:dyDescent="0.15">
      <c r="A8" s="4" t="s">
        <v>32</v>
      </c>
      <c r="B8" s="4">
        <f>COUNTIFS('Raw Data'!$C$2:$C$201,"&gt;="&amp;46,'Raw Data'!$C$2:$C$201,"&lt;="&amp;55)</f>
        <v>30</v>
      </c>
      <c r="C8" s="7">
        <f>_xlfn.IFERROR(AVERAGEIFS('Raw Data'!$E$2:$E$201,'Raw Data'!$C$2:$C$201,"&gt;="&amp;46,'Raw Data'!$C$2:$C$201,"&lt;="&amp;55),0)</f>
        <v>0</v>
      </c>
      <c r="D8" s="7">
        <f>_xlfn.IFERROR(AVERAGEIFS('Raw Data'!$F$2:$F$201,'Raw Data'!$C$2:$C$201,"&gt;="&amp;46,'Raw Data'!$C$2:$C$201,"&lt;="&amp;55),0)</f>
        <v>0</v>
      </c>
      <c r="E8" s="7">
        <f>_xlfn.IFERROR(AVERAGEIFS('Raw Data'!$H$2:$H$201,'Raw Data'!$C$2:$C$201,"&gt;="&amp;46,'Raw Data'!$C$2:$C$201,"&lt;="&amp;55),0)</f>
        <v>0</v>
      </c>
    </row>
    <row r="9" spans="1:5" x14ac:dyDescent="0.15">
      <c r="A9" s="4" t="s">
        <v>33</v>
      </c>
      <c r="B9" s="4">
        <f>COUNTIFS('Raw Data'!$C$2:$C$201,"&gt;="&amp;56,'Raw Data'!$C$2:$C$201,"&lt;="&amp;65)</f>
        <v>36</v>
      </c>
      <c r="C9" s="7">
        <f>_xlfn.IFERROR(AVERAGEIFS('Raw Data'!$E$2:$E$201,'Raw Data'!$C$2:$C$201,"&gt;="&amp;56,'Raw Data'!$C$2:$C$201,"&lt;="&amp;65),0)</f>
        <v>0</v>
      </c>
      <c r="D9" s="7">
        <f>_xlfn.IFERROR(AVERAGEIFS('Raw Data'!$F$2:$F$201,'Raw Data'!$C$2:$C$201,"&gt;="&amp;56,'Raw Data'!$C$2:$C$201,"&lt;="&amp;65),0)</f>
        <v>0</v>
      </c>
      <c r="E9" s="7">
        <f>_xlfn.IFERROR(AVERAGEIFS('Raw Data'!$H$2:$H$201,'Raw Data'!$C$2:$C$201,"&gt;="&amp;56,'Raw Data'!$C$2:$C$201,"&lt;="&amp;65),0)</f>
        <v>0</v>
      </c>
    </row>
    <row r="10" spans="1:5" x14ac:dyDescent="0.15">
      <c r="A10" s="4" t="s">
        <v>34</v>
      </c>
      <c r="B10" s="4">
        <f>COUNTIFS('Raw Data'!$C$2:$C$201,"&gt;="&amp;66,'Raw Data'!$C$2:$C$201,"&lt;="&amp;120)</f>
        <v>24</v>
      </c>
      <c r="C10" s="7">
        <f>_xlfn.IFERROR(AVERAGEIFS('Raw Data'!$E$2:$E$201,'Raw Data'!$C$2:$C$201,"&gt;="&amp;66,'Raw Data'!$C$2:$C$201,"&lt;="&amp;120),0)</f>
        <v>0</v>
      </c>
      <c r="D10" s="7">
        <f>_xlfn.IFERROR(AVERAGEIFS('Raw Data'!$F$2:$F$201,'Raw Data'!$C$2:$C$201,"&gt;="&amp;66,'Raw Data'!$C$2:$C$201,"&lt;="&amp;120),0)</f>
        <v>0</v>
      </c>
      <c r="E10" s="7">
        <f>_xlfn.IFERROR(AVERAGEIFS('Raw Data'!$H$2:$H$201,'Raw Data'!$C$2:$C$201,"&gt;="&amp;66,'Raw Data'!$C$2:$C$201,"&lt;="&amp;120),0)</f>
        <v>0</v>
      </c>
    </row>
    <row r="13" spans="1:1" customHeight="1" x14ac:dyDescent="0.15">
      <c r="A13" s="6" t="s">
        <v>35</v>
      </c>
    </row>
    <row r="14" spans="1:5" ht="44.999313" x14ac:dyDescent="0.15">
      <c r="A14" s="2" t="s">
        <v>3</v>
      </c>
      <c r="B14" s="2" t="s">
        <v>25</v>
      </c>
      <c r="C14" s="2" t="s">
        <v>26</v>
      </c>
      <c r="D14" s="2" t="s">
        <v>27</v>
      </c>
      <c r="E14" s="2" t="s">
        <v>36</v>
      </c>
    </row>
    <row r="15" spans="1:5" x14ac:dyDescent="0.15">
      <c r="A15" s="4" t="s">
        <v>11</v>
      </c>
      <c r="B15" s="4">
        <f>COUNTIF('Raw Data'!$D$2:$D$201,A15)</f>
        <v>42</v>
      </c>
      <c r="C15" s="7">
        <f>_xlfn.IFERROR(AVERAGEIF('Raw Data'!$D$2:$D$201,A15,'Raw Data'!$E$2:$E$201),0)</f>
        <v>0</v>
      </c>
      <c r="D15" s="7">
        <f>_xlfn.IFERROR(AVERAGEIF('Raw Data'!$D$2:$D$201,A15,'Raw Data'!$F$2:$F$201),0)</f>
        <v>0</v>
      </c>
      <c r="E15" s="8">
        <f>B15/200</f>
        <v>0.21</v>
      </c>
    </row>
    <row r="16" spans="1:5" x14ac:dyDescent="0.15">
      <c r="A16" s="4" t="s">
        <v>21</v>
      </c>
      <c r="B16" s="4">
        <f>COUNTIF('Raw Data'!$D$2:$D$201,A16)</f>
        <v>27</v>
      </c>
      <c r="C16" s="7">
        <f>_xlfn.IFERROR(AVERAGEIF('Raw Data'!$D$2:$D$201,A16,'Raw Data'!$E$2:$E$201),0)</f>
        <v>0</v>
      </c>
      <c r="D16" s="7">
        <f>_xlfn.IFERROR(AVERAGEIF('Raw Data'!$D$2:$D$201,A16,'Raw Data'!$F$2:$F$201),0)</f>
        <v>0</v>
      </c>
      <c r="E16" s="8">
        <f>B16/200</f>
        <v>0.135</v>
      </c>
    </row>
    <row r="17" spans="1:5" x14ac:dyDescent="0.15">
      <c r="A17" s="4" t="s">
        <v>18</v>
      </c>
      <c r="B17" s="4">
        <f>COUNTIF('Raw Data'!$D$2:$D$201,A17)</f>
        <v>45</v>
      </c>
      <c r="C17" s="7">
        <f>_xlfn.IFERROR(AVERAGEIF('Raw Data'!$D$2:$D$201,A17,'Raw Data'!$E$2:$E$201),0)</f>
        <v>0</v>
      </c>
      <c r="D17" s="7">
        <f>_xlfn.IFERROR(AVERAGEIF('Raw Data'!$D$2:$D$201,A17,'Raw Data'!$F$2:$F$201),0)</f>
        <v>0</v>
      </c>
      <c r="E17" s="8">
        <f>B17/200</f>
        <v>0.225</v>
      </c>
    </row>
    <row r="18" spans="1:5" x14ac:dyDescent="0.15">
      <c r="A18" s="4" t="s">
        <v>20</v>
      </c>
      <c r="B18" s="4">
        <f>COUNTIF('Raw Data'!$D$2:$D$201,A18)</f>
        <v>40</v>
      </c>
      <c r="C18" s="7">
        <f>_xlfn.IFERROR(AVERAGEIF('Raw Data'!$D$2:$D$201,A18,'Raw Data'!$E$2:$E$201),0)</f>
        <v>0</v>
      </c>
      <c r="D18" s="7">
        <f>_xlfn.IFERROR(AVERAGEIF('Raw Data'!$D$2:$D$201,A18,'Raw Data'!$F$2:$F$201),0)</f>
        <v>0</v>
      </c>
      <c r="E18" s="8">
        <f>B18/200</f>
        <v>0.2</v>
      </c>
    </row>
    <row r="19" spans="1:5" x14ac:dyDescent="0.15">
      <c r="A19" s="4" t="s">
        <v>13</v>
      </c>
      <c r="B19" s="4">
        <f>COUNTIF('Raw Data'!$D$2:$D$201,A19)</f>
        <v>46</v>
      </c>
      <c r="C19" s="7">
        <f>_xlfn.IFERROR(AVERAGEIF('Raw Data'!$D$2:$D$201,A19,'Raw Data'!$E$2:$E$201),0)</f>
        <v>0</v>
      </c>
      <c r="D19" s="7">
        <f>_xlfn.IFERROR(AVERAGEIF('Raw Data'!$D$2:$D$201,A19,'Raw Data'!$F$2:$F$201),0)</f>
        <v>0</v>
      </c>
      <c r="E19" s="8">
        <f>B19/200</f>
        <v>0.23</v>
      </c>
    </row>
    <row r="22" spans="1:1" customHeight="1" x14ac:dyDescent="0.15">
      <c r="A22" s="6" t="s">
        <v>37</v>
      </c>
    </row>
    <row r="23" spans="1:7" ht="14.999771" x14ac:dyDescent="0.15">
      <c r="A23" s="2" t="s">
        <v>38</v>
      </c>
      <c r="B23" s="2" t="s">
        <v>0</v>
      </c>
      <c r="C23" s="2" t="s">
        <v>3</v>
      </c>
      <c r="D23" s="2" t="s">
        <v>2</v>
      </c>
      <c r="E23" s="2" t="s">
        <v>39</v>
      </c>
      <c r="F23" s="2" t="s">
        <v>40</v>
      </c>
      <c r="G23" s="2" t="s">
        <v>41</v>
      </c>
    </row>
    <row r="24" spans="1:7" x14ac:dyDescent="0.15">
      <c r="A24" s="4">
        <v>1.0</v>
      </c>
      <c r="B24" s="4">
        <f>INDEX('Raw Data'!$A$2:$A$201,MATCH(1,'Raw Data'!$J$2:$J$201,0))</f>
        <v>193</v>
      </c>
      <c r="C24" s="4" t="s">
        <f>INDEX('Raw Data'!$D$2:$D$201,MATCH(1,'Raw Data'!$J$2:$J$201,0))</f>
        <v>13</v>
      </c>
      <c r="D24" s="4">
        <f>INDEX('Raw Data'!$C$2:$C$201,MATCH(1,'Raw Data'!$J$2:$J$201,0))</f>
        <v>70</v>
      </c>
      <c r="E24" s="4">
        <f>INDEX('Raw Data'!$E$2:$E$201,MATCH(1,'Raw Data'!$J$2:$J$201,0))</f>
        <v>99.8</v>
      </c>
      <c r="F24" s="4">
        <f>INDEX('Raw Data'!$F$2:$F$201,MATCH(1,'Raw Data'!$J$2:$J$201,0))</f>
        <v>89</v>
      </c>
      <c r="G24" s="4">
        <f>INDEX('Raw Data'!$I$2:$I$201,MATCH(1,'Raw Data'!$J$2:$J$201,0))</f>
        <v>8882.199999999999</v>
      </c>
    </row>
    <row r="25" spans="1:7" x14ac:dyDescent="0.15">
      <c r="A25" s="4">
        <v>2.0</v>
      </c>
      <c r="B25" s="4">
        <f>INDEX('Raw Data'!$A$2:$A$201,MATCH(2,'Raw Data'!$J$2:$J$201,0))</f>
        <v>47</v>
      </c>
      <c r="C25" s="4" t="s">
        <f>INDEX('Raw Data'!$D$2:$D$201,MATCH(2,'Raw Data'!$J$2:$J$201,0))</f>
        <v>13</v>
      </c>
      <c r="D25" s="4">
        <f>INDEX('Raw Data'!$C$2:$C$201,MATCH(2,'Raw Data'!$J$2:$J$201,0))</f>
        <v>63</v>
      </c>
      <c r="E25" s="4">
        <f>INDEX('Raw Data'!$E$2:$E$201,MATCH(2,'Raw Data'!$J$2:$J$201,0))</f>
        <v>102</v>
      </c>
      <c r="F25" s="4">
        <f>INDEX('Raw Data'!$F$2:$F$201,MATCH(2,'Raw Data'!$J$2:$J$201,0))</f>
        <v>84</v>
      </c>
      <c r="G25" s="4">
        <f>INDEX('Raw Data'!$I$2:$I$201,MATCH(2,'Raw Data'!$J$2:$J$201,0))</f>
        <v>8568</v>
      </c>
    </row>
    <row r="26" spans="1:7" x14ac:dyDescent="0.15">
      <c r="A26" s="4">
        <v>3.0</v>
      </c>
      <c r="B26" s="4">
        <f>INDEX('Raw Data'!$A$2:$A$201,MATCH(3,'Raw Data'!$J$2:$J$201,0))</f>
        <v>75</v>
      </c>
      <c r="C26" s="4" t="s">
        <f>INDEX('Raw Data'!$D$2:$D$201,MATCH(3,'Raw Data'!$J$2:$J$201,0))</f>
        <v>20</v>
      </c>
      <c r="D26" s="4">
        <f>INDEX('Raw Data'!$C$2:$C$201,MATCH(3,'Raw Data'!$J$2:$J$201,0))</f>
        <v>56</v>
      </c>
      <c r="E26" s="4">
        <f>INDEX('Raw Data'!$E$2:$E$201,MATCH(3,'Raw Data'!$J$2:$J$201,0))</f>
        <v>87.1</v>
      </c>
      <c r="F26" s="4">
        <f>INDEX('Raw Data'!$F$2:$F$201,MATCH(3,'Raw Data'!$J$2:$J$201,0))</f>
        <v>93</v>
      </c>
      <c r="G26" s="4">
        <f>INDEX('Raw Data'!$I$2:$I$201,MATCH(3,'Raw Data'!$J$2:$J$201,0))</f>
        <v>8100.299999999999</v>
      </c>
    </row>
    <row r="27" spans="1:7" x14ac:dyDescent="0.15">
      <c r="A27" s="4">
        <v>4.0</v>
      </c>
      <c r="B27" s="4">
        <f>INDEX('Raw Data'!$A$2:$A$201,MATCH(4,'Raw Data'!$J$2:$J$201,0))</f>
        <v>20</v>
      </c>
      <c r="C27" s="4" t="s">
        <f>INDEX('Raw Data'!$D$2:$D$201,MATCH(4,'Raw Data'!$J$2:$J$201,0))</f>
        <v>13</v>
      </c>
      <c r="D27" s="4">
        <f>INDEX('Raw Data'!$C$2:$C$201,MATCH(4,'Raw Data'!$J$2:$J$201,0))</f>
        <v>66</v>
      </c>
      <c r="E27" s="4">
        <f>INDEX('Raw Data'!$E$2:$E$201,MATCH(4,'Raw Data'!$J$2:$J$201,0))</f>
        <v>99.1</v>
      </c>
      <c r="F27" s="4">
        <f>INDEX('Raw Data'!$F$2:$F$201,MATCH(4,'Raw Data'!$J$2:$J$201,0))</f>
        <v>81</v>
      </c>
      <c r="G27" s="4">
        <f>INDEX('Raw Data'!$I$2:$I$201,MATCH(4,'Raw Data'!$J$2:$J$201,0))</f>
        <v>8027.099999999999</v>
      </c>
    </row>
    <row r="28" spans="1:7" x14ac:dyDescent="0.15">
      <c r="A28" s="4">
        <v>5.0</v>
      </c>
      <c r="B28" s="4">
        <f>INDEX('Raw Data'!$A$2:$A$201,MATCH(5,'Raw Data'!$J$2:$J$201,0))</f>
        <v>37</v>
      </c>
      <c r="C28" s="4" t="s">
        <f>INDEX('Raw Data'!$D$2:$D$201,MATCH(5,'Raw Data'!$J$2:$J$201,0))</f>
        <v>18</v>
      </c>
      <c r="D28" s="4">
        <f>INDEX('Raw Data'!$C$2:$C$201,MATCH(5,'Raw Data'!$J$2:$J$201,0))</f>
        <v>68</v>
      </c>
      <c r="E28" s="4">
        <f>INDEX('Raw Data'!$E$2:$E$201,MATCH(5,'Raw Data'!$J$2:$J$201,0))</f>
        <v>79.5</v>
      </c>
      <c r="F28" s="4">
        <f>INDEX('Raw Data'!$F$2:$F$201,MATCH(5,'Raw Data'!$J$2:$J$201,0))</f>
        <v>94</v>
      </c>
      <c r="G28" s="4">
        <f>INDEX('Raw Data'!$I$2:$I$201,MATCH(5,'Raw Data'!$J$2:$J$201,0))</f>
        <v>7473</v>
      </c>
    </row>
    <row r="29" spans="1:7" x14ac:dyDescent="0.15">
      <c r="A29" s="4">
        <v>6.0</v>
      </c>
      <c r="B29" s="4">
        <f>INDEX('Raw Data'!$A$2:$A$201,MATCH(6,'Raw Data'!$J$2:$J$201,0))</f>
        <v>94</v>
      </c>
      <c r="C29" s="4" t="s">
        <f>INDEX('Raw Data'!$D$2:$D$201,MATCH(6,'Raw Data'!$J$2:$J$201,0))</f>
        <v>18</v>
      </c>
      <c r="D29" s="4">
        <f>INDEX('Raw Data'!$C$2:$C$201,MATCH(6,'Raw Data'!$J$2:$J$201,0))</f>
        <v>68</v>
      </c>
      <c r="E29" s="4">
        <f>INDEX('Raw Data'!$E$2:$E$201,MATCH(6,'Raw Data'!$J$2:$J$201,0))</f>
        <v>83.9</v>
      </c>
      <c r="F29" s="4">
        <f>INDEX('Raw Data'!$F$2:$F$201,MATCH(6,'Raw Data'!$J$2:$J$201,0))</f>
        <v>85</v>
      </c>
      <c r="G29" s="4">
        <f>INDEX('Raw Data'!$I$2:$I$201,MATCH(6,'Raw Data'!$J$2:$J$201,0))</f>
        <v>7131.500000000001</v>
      </c>
    </row>
    <row r="30" spans="1:7" x14ac:dyDescent="0.15">
      <c r="A30" s="4">
        <v>7.0</v>
      </c>
      <c r="B30" s="4">
        <f>INDEX('Raw Data'!$A$2:$A$201,MATCH(7,'Raw Data'!$J$2:$J$201,0))</f>
        <v>65</v>
      </c>
      <c r="C30" s="4" t="s">
        <f>INDEX('Raw Data'!$D$2:$D$201,MATCH(7,'Raw Data'!$J$2:$J$201,0))</f>
        <v>18</v>
      </c>
      <c r="D30" s="4">
        <f>INDEX('Raw Data'!$C$2:$C$201,MATCH(7,'Raw Data'!$J$2:$J$201,0))</f>
        <v>60</v>
      </c>
      <c r="E30" s="4">
        <f>INDEX('Raw Data'!$E$2:$E$201,MATCH(7,'Raw Data'!$J$2:$J$201,0))</f>
        <v>82.9</v>
      </c>
      <c r="F30" s="4">
        <f>INDEX('Raw Data'!$F$2:$F$201,MATCH(7,'Raw Data'!$J$2:$J$201,0))</f>
        <v>86</v>
      </c>
      <c r="G30" s="4">
        <f>INDEX('Raw Data'!$I$2:$I$201,MATCH(7,'Raw Data'!$J$2:$J$201,0))</f>
        <v>7129.400000000001</v>
      </c>
    </row>
    <row r="31" spans="1:7" x14ac:dyDescent="0.15">
      <c r="A31" s="4">
        <v>8.0</v>
      </c>
      <c r="B31" s="4">
        <f>INDEX('Raw Data'!$A$2:$A$201,MATCH(8,'Raw Data'!$J$2:$J$201,0))</f>
        <v>168</v>
      </c>
      <c r="C31" s="4" t="s">
        <f>INDEX('Raw Data'!$D$2:$D$201,MATCH(8,'Raw Data'!$J$2:$J$201,0))</f>
        <v>20</v>
      </c>
      <c r="D31" s="4">
        <f>INDEX('Raw Data'!$C$2:$C$201,MATCH(8,'Raw Data'!$J$2:$J$201,0))</f>
        <v>52</v>
      </c>
      <c r="E31" s="4">
        <f>INDEX('Raw Data'!$E$2:$E$201,MATCH(8,'Raw Data'!$J$2:$J$201,0))</f>
        <v>80.7</v>
      </c>
      <c r="F31" s="4">
        <f>INDEX('Raw Data'!$F$2:$F$201,MATCH(8,'Raw Data'!$J$2:$J$201,0))</f>
        <v>86</v>
      </c>
      <c r="G31" s="4">
        <f>INDEX('Raw Data'!$I$2:$I$201,MATCH(8,'Raw Data'!$J$2:$J$201,0))</f>
        <v>6940.2</v>
      </c>
    </row>
    <row r="32" spans="1:7" x14ac:dyDescent="0.15">
      <c r="A32" s="4">
        <v>9.0</v>
      </c>
      <c r="B32" s="4">
        <f>INDEX('Raw Data'!$A$2:$A$201,MATCH(9,'Raw Data'!$J$2:$J$201,0))</f>
        <v>64</v>
      </c>
      <c r="C32" s="4" t="s">
        <f>INDEX('Raw Data'!$D$2:$D$201,MATCH(9,'Raw Data'!$J$2:$J$201,0))</f>
        <v>18</v>
      </c>
      <c r="D32" s="4">
        <f>INDEX('Raw Data'!$C$2:$C$201,MATCH(9,'Raw Data'!$J$2:$J$201,0))</f>
        <v>69</v>
      </c>
      <c r="E32" s="4">
        <f>INDEX('Raw Data'!$E$2:$E$201,MATCH(9,'Raw Data'!$J$2:$J$201,0))</f>
        <v>79.9</v>
      </c>
      <c r="F32" s="4">
        <f>INDEX('Raw Data'!$F$2:$F$201,MATCH(9,'Raw Data'!$J$2:$J$201,0))</f>
        <v>86</v>
      </c>
      <c r="G32" s="4">
        <f>INDEX('Raw Data'!$I$2:$I$201,MATCH(9,'Raw Data'!$J$2:$J$201,0))</f>
        <v>6871.400000000001</v>
      </c>
    </row>
    <row r="33" spans="1:7" x14ac:dyDescent="0.15">
      <c r="A33" s="4">
        <v>10.0</v>
      </c>
      <c r="B33" s="4">
        <f>INDEX('Raw Data'!$A$2:$A$201,MATCH(10,'Raw Data'!$J$2:$J$201,0))</f>
        <v>26</v>
      </c>
      <c r="C33" s="4" t="s">
        <f>INDEX('Raw Data'!$D$2:$D$201,MATCH(10,'Raw Data'!$J$2:$J$201,0))</f>
        <v>18</v>
      </c>
      <c r="D33" s="4">
        <f>INDEX('Raw Data'!$C$2:$C$201,MATCH(10,'Raw Data'!$J$2:$J$201,0))</f>
        <v>66</v>
      </c>
      <c r="E33" s="4">
        <f>INDEX('Raw Data'!$E$2:$E$201,MATCH(10,'Raw Data'!$J$2:$J$201,0))</f>
        <v>78.6</v>
      </c>
      <c r="F33" s="4">
        <f>INDEX('Raw Data'!$F$2:$F$201,MATCH(10,'Raw Data'!$J$2:$J$201,0))</f>
        <v>86</v>
      </c>
      <c r="G33" s="4">
        <f>INDEX('Raw Data'!$I$2:$I$201,MATCH(10,'Raw Data'!$J$2:$J$201,0))</f>
        <v>6759.599999999999</v>
      </c>
    </row>
  </sheetData>
  <mergeCells count="1">
    <mergeCell ref="A1:F1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="60" zoomScaleNormal="60" topLeftCell="A1" workbookViewId="0">
      <selection activeCell="A1" activeCellId="0" sqref="A1"/>
    </sheetView>
  </sheetViews>
  <sheetFormatPr defaultRowHeight="15.0" defaultColWidth="8.625" x14ac:dyDescent="0.15"/>
  <cols>
    <col min="1" max="2" width="8.625"/>
  </cols>
  <sheetData>
    <row r="1" spans="1:1" ht="19.7" x14ac:dyDescent="0.15">
      <c r="A1" s="5" t="s">
        <v>42</v>
      </c>
    </row>
  </sheetData>
  <phoneticPr fontId="0" type="noConversion"/>
  <pageMargins left="0.7499062639521802" right="0.7499062639521802" top="0.9998749560258521" bottom="0.9998749560258521" header="0.5117415443180114" footer="0.5117415443180114"/>
  <pageSetup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23"/>
  <sheetViews>
    <sheetView zoomScale="60" zoomScaleNormal="60" topLeftCell="A1" workbookViewId="0">
      <selection activeCell="A1" activeCellId="0" sqref="A1"/>
    </sheetView>
  </sheetViews>
  <sheetFormatPr defaultRowHeight="15.0" defaultColWidth="8.625" x14ac:dyDescent="0.15"/>
  <cols>
    <col min="1" max="1" width="32.0" customWidth="1" style="1"/>
    <col min="2" max="2" width="20.0" customWidth="1" style="1"/>
    <col min="3" max="4" width="14.0" customWidth="1" style="1"/>
  </cols>
  <sheetData>
    <row r="1" spans="1:4" ht="19.7" x14ac:dyDescent="0.15">
      <c r="A1" s="69" t="s">
        <v>43</v>
      </c>
      <c r="B1" s="69"/>
      <c r="C1" s="69"/>
      <c r="D1" s="69"/>
    </row>
    <row r="3" spans="1:2" x14ac:dyDescent="0.15">
      <c r="A3" s="3" t="s">
        <v>44</v>
      </c>
      <c r="B3" s="3" t="s">
        <v>45</v>
      </c>
    </row>
    <row r="4" spans="1:2" x14ac:dyDescent="0.15">
      <c r="A4" s="4" t="s">
        <v>46</v>
      </c>
      <c r="B4" s="9">
        <f>COUNTA('Raw Data'!A2:A201)</f>
        <v>200</v>
      </c>
    </row>
    <row r="5" spans="1:2" x14ac:dyDescent="0.15">
      <c r="A5" s="4" t="s">
        <v>47</v>
      </c>
      <c r="B5" s="10">
        <f>AVERAGE('Raw Data'!E2:E201)</f>
        <v>64.45649999999999</v>
      </c>
    </row>
    <row r="6" spans="1:2" x14ac:dyDescent="0.15">
      <c r="A6" s="4" t="s">
        <v>48</v>
      </c>
      <c r="B6" s="10">
        <f>AVERAGE('Raw Data'!F2:F201)</f>
        <v>47.65</v>
      </c>
    </row>
    <row r="7" spans="1:2" x14ac:dyDescent="0.15">
      <c r="A7" s="4" t="s">
        <v>49</v>
      </c>
      <c r="B7" s="9" t="s">
        <f>INDEX('Segmentation'!A15:A19,MATCH(MAX('Segmentation'!B15:B19),'Segmentation'!B15:B19,0))</f>
        <v>13</v>
      </c>
    </row>
    <row r="8" spans="1:2" x14ac:dyDescent="0.15">
      <c r="A8" s="4" t="s">
        <v>50</v>
      </c>
      <c r="B8" s="9" t="s">
        <f>INDEX('Segmentation'!A5:A10,MATCH(MAX('Segmentation'!D5:D10),'Segmentation'!D5:D10,0))</f>
        <v>29</v>
      </c>
    </row>
    <row r="9" spans="1:2" x14ac:dyDescent="0.15">
      <c r="A9" s="4" t="s">
        <v>51</v>
      </c>
      <c r="B9" s="10">
        <f>'Segmentation'!G24</f>
        <v>8882.199999999999</v>
      </c>
    </row>
    <row r="11" spans="1:1" x14ac:dyDescent="0.15">
      <c r="A11" s="6" t="s">
        <v>52</v>
      </c>
    </row>
    <row r="12" spans="1:4" ht="39.75" customHeight="1" x14ac:dyDescent="0.15">
      <c r="A12" s="70" t="s">
        <v>53</v>
      </c>
      <c r="B12" s="70"/>
      <c r="C12" s="70"/>
      <c r="D12" s="70"/>
    </row>
    <row r="13" spans="1:4" ht="39.75" customHeight="1" x14ac:dyDescent="0.15">
      <c r="A13" s="70" t="s">
        <v>54</v>
      </c>
      <c r="B13" s="70"/>
      <c r="C13" s="70"/>
      <c r="D13" s="70"/>
    </row>
    <row r="14" spans="1:4" ht="39.75" customHeight="1" x14ac:dyDescent="0.15">
      <c r="A14" s="70" t="s">
        <v>55</v>
      </c>
      <c r="B14" s="70"/>
      <c r="C14" s="70"/>
      <c r="D14" s="70"/>
    </row>
    <row r="15" spans="1:4" ht="39.75" customHeight="1" x14ac:dyDescent="0.15">
      <c r="A15" s="70" t="s">
        <v>56</v>
      </c>
      <c r="B15" s="70"/>
      <c r="C15" s="70"/>
      <c r="D15" s="70"/>
    </row>
    <row r="17" spans="1:1" x14ac:dyDescent="0.15">
      <c r="A17" s="6" t="s">
        <v>57</v>
      </c>
    </row>
    <row r="18" spans="1:4" ht="39.75" customHeight="1" x14ac:dyDescent="0.15">
      <c r="A18" s="70" t="s">
        <v>58</v>
      </c>
      <c r="B18" s="70"/>
      <c r="C18" s="70"/>
      <c r="D18" s="70"/>
    </row>
    <row r="19" spans="1:4" ht="39.75" customHeight="1" x14ac:dyDescent="0.15">
      <c r="A19" s="70" t="s">
        <v>59</v>
      </c>
      <c r="B19" s="70"/>
      <c r="C19" s="70"/>
      <c r="D19" s="70"/>
    </row>
    <row r="20" spans="1:4" ht="39.75" customHeight="1" x14ac:dyDescent="0.15">
      <c r="A20" s="70" t="s">
        <v>60</v>
      </c>
      <c r="B20" s="70"/>
      <c r="C20" s="70"/>
      <c r="D20" s="70"/>
    </row>
    <row r="21" spans="1:4" ht="39.75" customHeight="1" x14ac:dyDescent="0.15">
      <c r="A21" s="70" t="s">
        <v>61</v>
      </c>
      <c r="B21" s="70"/>
      <c r="C21" s="70"/>
      <c r="D21" s="70"/>
    </row>
    <row r="23" spans="1:4" ht="22.35" customHeight="1" x14ac:dyDescent="0.15">
      <c r="A23" s="71" t="s">
        <v>62</v>
      </c>
      <c r="B23" s="71"/>
      <c r="C23" s="71"/>
      <c r="D23" s="71"/>
    </row>
  </sheetData>
  <mergeCells count="10">
    <mergeCell ref="A1:D1"/>
    <mergeCell ref="A12:D12"/>
    <mergeCell ref="A13:D13"/>
    <mergeCell ref="A14:D14"/>
    <mergeCell ref="A15:D15"/>
    <mergeCell ref="A18:D18"/>
    <mergeCell ref="A19:D19"/>
    <mergeCell ref="A20:D20"/>
    <mergeCell ref="A21:D21"/>
    <mergeCell ref="A23:D23"/>
  </mergeCells>
  <phoneticPr fontId="0" type="noConversion"/>
  <pageMargins left="0.7499062639521802" right="0.7499062639521802" top="0.9998749560258521" bottom="0.9998749560258521" header="0.5117415443180114" footer="0.5117415443180114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Mobile phone user</cp:lastModifiedBy>
  <cp:revision>1</cp:revision>
  <dcterms:created xsi:type="dcterms:W3CDTF">2026-08-08T07:16:59Z</dcterms:created>
  <dcterms:modified xsi:type="dcterms:W3CDTF">2026-08-08T05:16:01Z</dcterms:modified>
</cp:coreProperties>
</file>